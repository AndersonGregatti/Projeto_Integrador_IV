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35.xml"/>
  <Override ContentType="application/vnd.openxmlformats-officedocument.spreadsheetml.table+xml" PartName="/xl/tables/table338.xml"/>
  <Override ContentType="application/vnd.openxmlformats-officedocument.spreadsheetml.table+xml" PartName="/xl/tables/table249.xml"/>
  <Override ContentType="application/vnd.openxmlformats-officedocument.spreadsheetml.table+xml" PartName="/xl/tables/table354.xml"/>
  <Override ContentType="application/vnd.openxmlformats-officedocument.spreadsheetml.table+xml" PartName="/xl/tables/table419.xml"/>
  <Override ContentType="application/vnd.openxmlformats-officedocument.spreadsheetml.table+xml" PartName="/xl/tables/table168.xml"/>
  <Override ContentType="application/vnd.openxmlformats-officedocument.spreadsheetml.table+xml" PartName="/xl/tables/table443.xml"/>
  <Override ContentType="application/vnd.openxmlformats-officedocument.spreadsheetml.table+xml" PartName="/xl/tables/table257.xml"/>
  <Override ContentType="application/vnd.openxmlformats-officedocument.spreadsheetml.table+xml" PartName="/xl/tables/table346.xml"/>
  <Override ContentType="application/vnd.openxmlformats-officedocument.spreadsheetml.table+xml" PartName="/xl/tables/table93.xml"/>
  <Override ContentType="application/vnd.openxmlformats-officedocument.spreadsheetml.table+xml" PartName="/xl/tables/table192.xml"/>
  <Override ContentType="application/vnd.openxmlformats-officedocument.spreadsheetml.table+xml" PartName="/xl/tables/table14.xml"/>
  <Override ContentType="application/vnd.openxmlformats-officedocument.spreadsheetml.table+xml" PartName="/xl/tables/table427.xml"/>
  <Override ContentType="application/vnd.openxmlformats-officedocument.spreadsheetml.table+xml" PartName="/xl/tables/table161.xml"/>
  <Override ContentType="application/vnd.openxmlformats-officedocument.spreadsheetml.table+xml" PartName="/xl/tables/table22.xml"/>
  <Override ContentType="application/vnd.openxmlformats-officedocument.spreadsheetml.table+xml" PartName="/xl/tables/table420.xml"/>
  <Override ContentType="application/vnd.openxmlformats-officedocument.spreadsheetml.table+xml" PartName="/xl/tables/table145.xml"/>
  <Override ContentType="application/vnd.openxmlformats-officedocument.spreadsheetml.table+xml" PartName="/xl/tables/table242.xml"/>
  <Override ContentType="application/vnd.openxmlformats-officedocument.spreadsheetml.table+xml" PartName="/xl/tables/table6.xml"/>
  <Override ContentType="application/vnd.openxmlformats-officedocument.spreadsheetml.table+xml" PartName="/xl/tables/table370.xml"/>
  <Override ContentType="application/vnd.openxmlformats-officedocument.spreadsheetml.table+xml" PartName="/xl/tables/table404.xml"/>
  <Override ContentType="application/vnd.openxmlformats-officedocument.spreadsheetml.table+xml" PartName="/xl/tables/table129.xml"/>
  <Override ContentType="application/vnd.openxmlformats-officedocument.spreadsheetml.table+xml" PartName="/xl/tables/table273.xml"/>
  <Override ContentType="application/vnd.openxmlformats-officedocument.spreadsheetml.table+xml" PartName="/xl/tables/table451.xml"/>
  <Override ContentType="application/vnd.openxmlformats-officedocument.spreadsheetml.table+xml" PartName="/xl/tables/table323.xml"/>
  <Override ContentType="application/vnd.openxmlformats-officedocument.spreadsheetml.table+xml" PartName="/xl/tables/table176.xml"/>
  <Override ContentType="application/vnd.openxmlformats-officedocument.spreadsheetml.table+xml" PartName="/xl/tables/table226.xml"/>
  <Override ContentType="application/vnd.openxmlformats-officedocument.spreadsheetml.table+xml" PartName="/xl/tables/table77.xml"/>
  <Override ContentType="application/vnd.openxmlformats-officedocument.spreadsheetml.table+xml" PartName="/xl/tables/table29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10.xml"/>
  <Override ContentType="application/vnd.openxmlformats-officedocument.spreadsheetml.table+xml" PartName="/xl/tables/table296.xml"/>
  <Override ContentType="application/vnd.openxmlformats-officedocument.spreadsheetml.table+xml" PartName="/xl/tables/table307.xml"/>
  <Override ContentType="application/vnd.openxmlformats-officedocument.spreadsheetml.table+xml" PartName="/xl/tables/table121.xml"/>
  <Override ContentType="application/vnd.openxmlformats-officedocument.spreadsheetml.table+xml" PartName="/xl/tables/table369.xml"/>
  <Override ContentType="application/vnd.openxmlformats-officedocument.spreadsheetml.table+xml" PartName="/xl/tables/table394.xml"/>
  <Override ContentType="application/vnd.openxmlformats-officedocument.spreadsheetml.table+xml" PartName="/xl/tables/table61.xml"/>
  <Override ContentType="application/vnd.openxmlformats-officedocument.spreadsheetml.table+xml" PartName="/xl/tables/table288.xml"/>
  <Override ContentType="application/vnd.openxmlformats-officedocument.spreadsheetml.table+xml" PartName="/xl/tables/table300.xml"/>
  <Override ContentType="application/vnd.openxmlformats-officedocument.spreadsheetml.table+xml" PartName="/xl/tables/table53.xml"/>
  <Override ContentType="application/vnd.openxmlformats-officedocument.spreadsheetml.table+xml" PartName="/xl/tables/table202.xml"/>
  <Override ContentType="application/vnd.openxmlformats-officedocument.spreadsheetml.table+xml" PartName="/xl/tables/table377.xml"/>
  <Override ContentType="application/vnd.openxmlformats-officedocument.spreadsheetml.table+xml" PartName="/xl/tables/table386.xml"/>
  <Override ContentType="application/vnd.openxmlformats-officedocument.spreadsheetml.table+xml" PartName="/xl/tables/table153.xml"/>
  <Override ContentType="application/vnd.openxmlformats-officedocument.spreadsheetml.table+xml" PartName="/xl/tables/table411.xml"/>
  <Override ContentType="application/vnd.openxmlformats-officedocument.spreadsheetml.table+xml" PartName="/xl/tables/table106.xml"/>
  <Override ContentType="application/vnd.openxmlformats-officedocument.spreadsheetml.table+xml" PartName="/xl/tables/table281.xml"/>
  <Override ContentType="application/vnd.openxmlformats-officedocument.spreadsheetml.table+xml" PartName="/xl/tables/table136.xml"/>
  <Override ContentType="application/vnd.openxmlformats-officedocument.spreadsheetml.table+xml" PartName="/xl/tables/table68.xml"/>
  <Override ContentType="application/vnd.openxmlformats-officedocument.spreadsheetml.table+xml" PartName="/xl/tables/table85.xml"/>
  <Override ContentType="application/vnd.openxmlformats-officedocument.spreadsheetml.table+xml" PartName="/xl/tables/table315.xml"/>
  <Override ContentType="application/vnd.openxmlformats-officedocument.spreadsheetml.table+xml" PartName="/xl/tables/table234.xml"/>
  <Override ContentType="application/vnd.openxmlformats-officedocument.spreadsheetml.table+xml" PartName="/xl/tables/table38.xml"/>
  <Override ContentType="application/vnd.openxmlformats-officedocument.spreadsheetml.table+xml" PartName="/xl/tables/table217.xml"/>
  <Override ContentType="application/vnd.openxmlformats-officedocument.spreadsheetml.table+xml" PartName="/xl/tables/table362.xml"/>
  <Override ContentType="application/vnd.openxmlformats-officedocument.spreadsheetml.table+xml" PartName="/xl/tables/table177.xml"/>
  <Override ContentType="application/vnd.openxmlformats-officedocument.spreadsheetml.table+xml" PartName="/xl/tables/table363.xml"/>
  <Override ContentType="application/vnd.openxmlformats-officedocument.spreadsheetml.table+xml" PartName="/xl/tables/table185.xml"/>
  <Override ContentType="application/vnd.openxmlformats-officedocument.spreadsheetml.table+xml" PartName="/xl/tables/table84.xml"/>
  <Override ContentType="application/vnd.openxmlformats-officedocument.spreadsheetml.table+xml" PartName="/xl/tables/table274.xml"/>
  <Override ContentType="application/vnd.openxmlformats-officedocument.spreadsheetml.table+xml" PartName="/xl/tables/table329.xml"/>
  <Override ContentType="application/vnd.openxmlformats-officedocument.spreadsheetml.table+xml" PartName="/xl/tables/table426.xml"/>
  <Override ContentType="application/vnd.openxmlformats-officedocument.spreadsheetml.table+xml" PartName="/xl/tables/table290.xml"/>
  <Override ContentType="application/vnd.openxmlformats-officedocument.spreadsheetml.table+xml" PartName="/xl/tables/table452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39.xml"/>
  <Override ContentType="application/vnd.openxmlformats-officedocument.spreadsheetml.table+xml" PartName="/xl/tables/table152.xml"/>
  <Override ContentType="application/vnd.openxmlformats-officedocument.spreadsheetml.table+xml" PartName="/xl/tables/table436.xml"/>
  <Override ContentType="application/vnd.openxmlformats-officedocument.spreadsheetml.table+xml" PartName="/xl/tables/table330.xml"/>
  <Override ContentType="application/vnd.openxmlformats-officedocument.spreadsheetml.table+xml" PartName="/xl/tables/table418.xml"/>
  <Override ContentType="application/vnd.openxmlformats-officedocument.spreadsheetml.table+xml" PartName="/xl/tables/table23.xml"/>
  <Override ContentType="application/vnd.openxmlformats-officedocument.spreadsheetml.table+xml" PartName="/xl/tables/table347.xml"/>
  <Override ContentType="application/vnd.openxmlformats-officedocument.spreadsheetml.table+xml" PartName="/xl/tables/table241.xml"/>
  <Override ContentType="application/vnd.openxmlformats-officedocument.spreadsheetml.table+xml" PartName="/xl/tables/table280.xml"/>
  <Override ContentType="application/vnd.openxmlformats-officedocument.spreadsheetml.table+xml" PartName="/xl/tables/table128.xml"/>
  <Override ContentType="application/vnd.openxmlformats-officedocument.spreadsheetml.table+xml" PartName="/xl/tables/table225.xml"/>
  <Override ContentType="application/vnd.openxmlformats-officedocument.spreadsheetml.table+xml" PartName="/xl/tables/table114.xml"/>
  <Override ContentType="application/vnd.openxmlformats-officedocument.spreadsheetml.table+xml" PartName="/xl/tables/table378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146.xml"/>
  <Override ContentType="application/vnd.openxmlformats-officedocument.spreadsheetml.table+xml" PartName="/xl/tables/table353.xml"/>
  <Override ContentType="application/vnd.openxmlformats-officedocument.spreadsheetml.table+xml" PartName="/xl/tables/table421.xml"/>
  <Override ContentType="application/vnd.openxmlformats-officedocument.spreadsheetml.table+xml" PartName="/xl/tables/table94.xml"/>
  <Override ContentType="application/vnd.openxmlformats-officedocument.spreadsheetml.table+xml" PartName="/xl/tables/table403.xml"/>
  <Override ContentType="application/vnd.openxmlformats-officedocument.spreadsheetml.table+xml" PartName="/xl/tables/table256.xml"/>
  <Override ContentType="application/vnd.openxmlformats-officedocument.spreadsheetml.table+xml" PartName="/xl/tables/table308.xml"/>
  <Override ContentType="application/vnd.openxmlformats-officedocument.spreadsheetml.table+xml" PartName="/xl/tables/table62.xml"/>
  <Override ContentType="application/vnd.openxmlformats-officedocument.spreadsheetml.table+xml" PartName="/xl/tables/table45.xml"/>
  <Override ContentType="application/vnd.openxmlformats-officedocument.spreadsheetml.table+xml" PartName="/xl/tables/table368.xml"/>
  <Override ContentType="application/vnd.openxmlformats-officedocument.spreadsheetml.table+xml" PartName="/xl/tables/table385.xml"/>
  <Override ContentType="application/vnd.openxmlformats-officedocument.spreadsheetml.table+xml" PartName="/xl/tables/table28.xml"/>
  <Override ContentType="application/vnd.openxmlformats-officedocument.spreadsheetml.table+xml" PartName="/xl/tables/table199.xml"/>
  <Override ContentType="application/vnd.openxmlformats-officedocument.spreadsheetml.table+xml" PartName="/xl/tables/table130.xml"/>
  <Override ContentType="application/vnd.openxmlformats-officedocument.spreadsheetml.table+xml" PartName="/xl/tables/table289.xml"/>
  <Override ContentType="application/vnd.openxmlformats-officedocument.spreadsheetml.table+xml" PartName="/xl/tables/table113.xml"/>
  <Override ContentType="application/vnd.openxmlformats-officedocument.spreadsheetml.table+xml" PartName="/xl/tables/table13.xml"/>
  <Override ContentType="application/vnd.openxmlformats-officedocument.spreadsheetml.table+xml" PartName="/xl/tables/table99.xml"/>
  <Override ContentType="application/vnd.openxmlformats-officedocument.spreadsheetml.table+xml" PartName="/xl/tables/table220.xml"/>
  <Override ContentType="application/vnd.openxmlformats-officedocument.spreadsheetml.table+xml" PartName="/xl/tables/table30.xml"/>
  <Override ContentType="application/vnd.openxmlformats-officedocument.spreadsheetml.table+xml" PartName="/xl/tables/table314.xml"/>
  <Override ContentType="application/vnd.openxmlformats-officedocument.spreadsheetml.table+xml" PartName="/xl/tables/table203.xml"/>
  <Override ContentType="application/vnd.openxmlformats-officedocument.spreadsheetml.table+xml" PartName="/xl/tables/table331.xml"/>
  <Override ContentType="application/vnd.openxmlformats-officedocument.spreadsheetml.table+xml" PartName="/xl/tables/table39.xml"/>
  <Override ContentType="application/vnd.openxmlformats-officedocument.spreadsheetml.table+xml" PartName="/xl/tables/table184.xml"/>
  <Override ContentType="application/vnd.openxmlformats-officedocument.spreadsheetml.table+xml" PartName="/xl/tables/table218.xml"/>
  <Override ContentType="application/vnd.openxmlformats-officedocument.spreadsheetml.table+xml" PartName="/xl/tables/table442.xml"/>
  <Override ContentType="application/vnd.openxmlformats-officedocument.spreadsheetml.table+xml" PartName="/xl/tables/table167.xml"/>
  <Override ContentType="application/vnd.openxmlformats-officedocument.spreadsheetml.table+xml" PartName="/xl/tables/table235.xml"/>
  <Override ContentType="application/vnd.openxmlformats-officedocument.spreadsheetml.table+xml" PartName="/xl/tables/table107.xml"/>
  <Override ContentType="application/vnd.openxmlformats-officedocument.spreadsheetml.table+xml" PartName="/xl/tables/table295.xml"/>
  <Override ContentType="application/vnd.openxmlformats-officedocument.spreadsheetml.table+xml" PartName="/xl/tables/table4.xml"/>
  <Override ContentType="application/vnd.openxmlformats-officedocument.spreadsheetml.table+xml" PartName="/xl/tables/table194.xml"/>
  <Override ContentType="application/vnd.openxmlformats-officedocument.spreadsheetml.table+xml" PartName="/xl/tables/table380.xml"/>
  <Override ContentType="application/vnd.openxmlformats-officedocument.spreadsheetml.table+xml" PartName="/xl/tables/table59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372.xml"/>
  <Override ContentType="application/vnd.openxmlformats-officedocument.spreadsheetml.table+xml" PartName="/xl/tables/table135.xml"/>
  <Override ContentType="application/vnd.openxmlformats-officedocument.spreadsheetml.table+xml" PartName="/xl/tables/table321.xml"/>
  <Override ContentType="application/vnd.openxmlformats-officedocument.spreadsheetml.table+xml" PartName="/xl/tables/table267.xml"/>
  <Override ContentType="application/vnd.openxmlformats-officedocument.spreadsheetml.table+xml" PartName="/xl/tables/table178.xml"/>
  <Override ContentType="application/vnd.openxmlformats-officedocument.spreadsheetml.table+xml" PartName="/xl/tables/table224.xml"/>
  <Override ContentType="application/vnd.openxmlformats-officedocument.spreadsheetml.table+xml" PartName="/xl/tables/table364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445.xml"/>
  <Override ContentType="application/vnd.openxmlformats-officedocument.spreadsheetml.table+xml" PartName="/xl/tables/table409.xml"/>
  <Override ContentType="application/vnd.openxmlformats-officedocument.spreadsheetml.table+xml" PartName="/xl/tables/table352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208.xml"/>
  <Override ContentType="application/vnd.openxmlformats-officedocument.spreadsheetml.table+xml" PartName="/xl/tables/table395.xml"/>
  <Override ContentType="application/vnd.openxmlformats-officedocument.spreadsheetml.table+xml" PartName="/xl/tables/table402.xml"/>
  <Override ContentType="application/vnd.openxmlformats-officedocument.spreadsheetml.table+xml" PartName="/xl/tables/table417.xml"/>
  <Override ContentType="application/vnd.openxmlformats-officedocument.spreadsheetml.table+xml" PartName="/xl/tables/table20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336.xml"/>
  <Override ContentType="application/vnd.openxmlformats-officedocument.spreadsheetml.table+xml" PartName="/xl/tables/table16.xml"/>
  <Override ContentType="application/vnd.openxmlformats-officedocument.spreadsheetml.table+xml" PartName="/xl/tables/table379.xml"/>
  <Override ContentType="application/vnd.openxmlformats-officedocument.spreadsheetml.table+xml" PartName="/xl/tables/table239.xml"/>
  <Override ContentType="application/vnd.openxmlformats-officedocument.spreadsheetml.table+xml" PartName="/xl/tables/table291.xml"/>
  <Override ContentType="application/vnd.openxmlformats-officedocument.spreadsheetml.table+xml" PartName="/xl/tables/table422.xml"/>
  <Override ContentType="application/vnd.openxmlformats-officedocument.spreadsheetml.table+xml" PartName="/xl/tables/table430.xml"/>
  <Override ContentType="application/vnd.openxmlformats-officedocument.spreadsheetml.table+xml" PartName="/xl/tables/table279.xml"/>
  <Override ContentType="application/vnd.openxmlformats-officedocument.spreadsheetml.table+xml" PartName="/xl/tables/table236.xml"/>
  <Override ContentType="application/vnd.openxmlformats-officedocument.spreadsheetml.table+xml" PartName="/xl/tables/table138.xml"/>
  <Override ContentType="application/vnd.openxmlformats-officedocument.spreadsheetml.table+xml" PartName="/xl/tables/table324.xml"/>
  <Override ContentType="application/vnd.openxmlformats-officedocument.spreadsheetml.table+xml" PartName="/xl/tables/table63.xml"/>
  <Override ContentType="application/vnd.openxmlformats-officedocument.spreadsheetml.table+xml" PartName="/xl/tables/table309.xml"/>
  <Override ContentType="application/vnd.openxmlformats-officedocument.spreadsheetml.table+xml" PartName="/xl/tables/table79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44.xml"/>
  <Override ContentType="application/vnd.openxmlformats-officedocument.spreadsheetml.table+xml" PartName="/xl/tables/table317.xml"/>
  <Override ContentType="application/vnd.openxmlformats-officedocument.spreadsheetml.table+xml" PartName="/xl/tables/table170.xml"/>
  <Override ContentType="application/vnd.openxmlformats-officedocument.spreadsheetml.table+xml" PartName="/xl/tables/table123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437.xml"/>
  <Override ContentType="application/vnd.openxmlformats-officedocument.spreadsheetml.table+xml" PartName="/xl/tables/table264.xml"/>
  <Override ContentType="application/vnd.openxmlformats-officedocument.spreadsheetml.table+xml" PartName="/xl/tables/table251.xml"/>
  <Override ContentType="application/vnd.openxmlformats-officedocument.spreadsheetml.table+xml" PartName="/xl/tables/table294.xml"/>
  <Override ContentType="application/vnd.openxmlformats-officedocument.spreadsheetml.table+xml" PartName="/xl/tables/table345.xml"/>
  <Override ContentType="application/vnd.openxmlformats-officedocument.spreadsheetml.table+xml" PartName="/xl/tables/table302.xml"/>
  <Override ContentType="application/vnd.openxmlformats-officedocument.spreadsheetml.table+xml" PartName="/xl/tables/table72.xml"/>
  <Override ContentType="application/vnd.openxmlformats-officedocument.spreadsheetml.table+xml" PartName="/xl/tables/table392.xml"/>
  <Override ContentType="application/vnd.openxmlformats-officedocument.spreadsheetml.table+xml" PartName="/xl/tables/table221.xml"/>
  <Override ContentType="application/vnd.openxmlformats-officedocument.spreadsheetml.table+xml" PartName="/xl/tables/table388.xml"/>
  <Override ContentType="application/vnd.openxmlformats-officedocument.spreadsheetml.table+xml" PartName="/xl/tables/table92.xml"/>
  <Override ContentType="application/vnd.openxmlformats-officedocument.spreadsheetml.table+xml" PartName="/xl/tables/table223.xml"/>
  <Override ContentType="application/vnd.openxmlformats-officedocument.spreadsheetml.table+xml" PartName="/xl/tables/table58.xml"/>
  <Override ContentType="application/vnd.openxmlformats-officedocument.spreadsheetml.table+xml" PartName="/xl/tables/table15.xml"/>
  <Override ContentType="application/vnd.openxmlformats-officedocument.spreadsheetml.table+xml" PartName="/xl/tables/table266.xml"/>
  <Override ContentType="application/vnd.openxmlformats-officedocument.spreadsheetml.table+xml" PartName="/xl/tables/table337.xml"/>
  <Override ContentType="application/vnd.openxmlformats-officedocument.spreadsheetml.table+xml" PartName="/xl/tables/table292.xml"/>
  <Override ContentType="application/vnd.openxmlformats-officedocument.spreadsheetml.table+xml" PartName="/xl/tables/table258.xml"/>
  <Override ContentType="application/vnd.openxmlformats-officedocument.spreadsheetml.table+xml" PartName="/xl/tables/table444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401.xml"/>
  <Override ContentType="application/vnd.openxmlformats-officedocument.spreadsheetml.table+xml" PartName="/xl/tables/table215.xml"/>
  <Override ContentType="application/vnd.openxmlformats-officedocument.spreadsheetml.table+xml" PartName="/xl/tables/table416.xml"/>
  <Override ContentType="application/vnd.openxmlformats-officedocument.spreadsheetml.table+xml" PartName="/xl/tables/table238.xml"/>
  <Override ContentType="application/vnd.openxmlformats-officedocument.spreadsheetml.table+xml" PartName="/xl/tables/table365.xml"/>
  <Override ContentType="application/vnd.openxmlformats-officedocument.spreadsheetml.table+xml" PartName="/xl/tables/table272.xml"/>
  <Override ContentType="application/vnd.openxmlformats-officedocument.spreadsheetml.table+xml" PartName="/xl/tables/table101.xml"/>
  <Override ContentType="application/vnd.openxmlformats-officedocument.spreadsheetml.table+xml" PartName="/xl/tables/table209.xml"/>
  <Override ContentType="application/vnd.openxmlformats-officedocument.spreadsheetml.table+xml" PartName="/xl/tables/table450.xml"/>
  <Override ContentType="application/vnd.openxmlformats-officedocument.spreadsheetml.table+xml" PartName="/xl/tables/table322.xml"/>
  <Override ContentType="application/vnd.openxmlformats-officedocument.spreadsheetml.table+xml" PartName="/xl/tables/table159.xml"/>
  <Override ContentType="application/vnd.openxmlformats-officedocument.spreadsheetml.table+xml" PartName="/xl/tables/table243.xml"/>
  <Override ContentType="application/vnd.openxmlformats-officedocument.spreadsheetml.table+xml" PartName="/xl/tables/table286.xml"/>
  <Override ContentType="application/vnd.openxmlformats-officedocument.spreadsheetml.table+xml" PartName="/xl/tables/table116.xml"/>
  <Override ContentType="application/vnd.openxmlformats-officedocument.spreadsheetml.table+xml" PartName="/xl/tables/table193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371.xml"/>
  <Override ContentType="application/vnd.openxmlformats-officedocument.spreadsheetml.table+xml" PartName="/xl/tables/table200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244.xml"/>
  <Override ContentType="application/vnd.openxmlformats-officedocument.spreadsheetml.table+xml" PartName="/xl/tables/table287.xml"/>
  <Override ContentType="application/vnd.openxmlformats-officedocument.spreadsheetml.table+xml" PartName="/xl/tables/table316.xml"/>
  <Override ContentType="application/vnd.openxmlformats-officedocument.spreadsheetml.table+xml" PartName="/xl/tables/table350.xml"/>
  <Override ContentType="application/vnd.openxmlformats-officedocument.spreadsheetml.table+xml" PartName="/xl/tables/table393.xml"/>
  <Override ContentType="application/vnd.openxmlformats-officedocument.spreadsheetml.table+xml" PartName="/xl/tables/table359.xml"/>
  <Override ContentType="application/vnd.openxmlformats-officedocument.spreadsheetml.table+xml" PartName="/xl/tables/table201.xml"/>
  <Override ContentType="application/vnd.openxmlformats-officedocument.spreadsheetml.table+xml" PartName="/xl/tables/table237.xml"/>
  <Override ContentType="application/vnd.openxmlformats-officedocument.spreadsheetml.table+xml" PartName="/xl/tables/table165.xml"/>
  <Override ContentType="application/vnd.openxmlformats-officedocument.spreadsheetml.table+xml" PartName="/xl/tables/table423.xml"/>
  <Override ContentType="application/vnd.openxmlformats-officedocument.spreadsheetml.table+xml" PartName="/xl/tables/table71.xml"/>
  <Override ContentType="application/vnd.openxmlformats-officedocument.spreadsheetml.table+xml" PartName="/xl/tables/table271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86.xml"/>
  <Override ContentType="application/vnd.openxmlformats-officedocument.spreadsheetml.table+xml" PartName="/xl/tables/table250.xml"/>
  <Override ContentType="application/vnd.openxmlformats-officedocument.spreadsheetml.table+xml" PartName="/xl/tables/table344.xml"/>
  <Override ContentType="application/vnd.openxmlformats-officedocument.spreadsheetml.table+xml" PartName="/xl/tables/table301.xml"/>
  <Override ContentType="application/vnd.openxmlformats-officedocument.spreadsheetml.table+xml" PartName="/xl/tables/table259.xml"/>
  <Override ContentType="application/vnd.openxmlformats-officedocument.spreadsheetml.table+xml" PartName="/xl/tables/table216.xml"/>
  <Override ContentType="application/vnd.openxmlformats-officedocument.spreadsheetml.table+xml" PartName="/xl/tables/table387.xml"/>
  <Override ContentType="application/vnd.openxmlformats-officedocument.spreadsheetml.table+xml" PartName="/xl/tables/table171.xml"/>
  <Override ContentType="application/vnd.openxmlformats-officedocument.spreadsheetml.table+xml" PartName="/xl/tables/table3.xml"/>
  <Override ContentType="application/vnd.openxmlformats-officedocument.spreadsheetml.table+xml" PartName="/xl/tables/table222.xml"/>
  <Override ContentType="application/vnd.openxmlformats-officedocument.spreadsheetml.table+xml" PartName="/xl/tables/table265.xml"/>
  <Override ContentType="application/vnd.openxmlformats-officedocument.spreadsheetml.table+xml" PartName="/xl/tables/table438.xml"/>
  <Override ContentType="application/vnd.openxmlformats-officedocument.spreadsheetml.table+xml" PartName="/xl/tables/table137.xml"/>
  <Override ContentType="application/vnd.openxmlformats-officedocument.spreadsheetml.table+xml" PartName="/xl/tables/table303.xml"/>
  <Override ContentType="application/vnd.openxmlformats-officedocument.spreadsheetml.table+xml" PartName="/xl/tables/table206.xml"/>
  <Override ContentType="application/vnd.openxmlformats-officedocument.spreadsheetml.table+xml" PartName="/xl/tables/table117.xml"/>
  <Override ContentType="application/vnd.openxmlformats-officedocument.spreadsheetml.table+xml" PartName="/xl/tables/table125.xml"/>
  <Override ContentType="application/vnd.openxmlformats-officedocument.spreadsheetml.table+xml" PartName="/xl/tables/table311.xml"/>
  <Override ContentType="application/vnd.openxmlformats-officedocument.spreadsheetml.table+xml" PartName="/xl/tables/table214.xml"/>
  <Override ContentType="application/vnd.openxmlformats-officedocument.spreadsheetml.table+xml" PartName="/xl/tables/table389.xml"/>
  <Override ContentType="application/vnd.openxmlformats-officedocument.spreadsheetml.table+xml" PartName="/xl/tables/table400.xml"/>
  <Override ContentType="application/vnd.openxmlformats-officedocument.spreadsheetml.table+xml" PartName="/xl/tables/table50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109.xml"/>
  <Override ContentType="application/vnd.openxmlformats-officedocument.spreadsheetml.table+xml" PartName="/xl/tables/table293.xml"/>
  <Override ContentType="application/vnd.openxmlformats-officedocument.spreadsheetml.table+xml" PartName="/xl/tables/table18.xml"/>
  <Override ContentType="application/vnd.openxmlformats-officedocument.spreadsheetml.table+xml" PartName="/xl/tables/table382.xml"/>
  <Override ContentType="application/vnd.openxmlformats-officedocument.spreadsheetml.table+xml" PartName="/xl/tables/table81.xml"/>
  <Override ContentType="application/vnd.openxmlformats-officedocument.spreadsheetml.table+xml" PartName="/xl/tables/table285.xml"/>
  <Override ContentType="application/vnd.openxmlformats-officedocument.spreadsheetml.table+xml" PartName="/xl/tables/table390.xml"/>
  <Override ContentType="application/vnd.openxmlformats-officedocument.spreadsheetml.table+xml" PartName="/xl/tables/table102.xml"/>
  <Override ContentType="application/vnd.openxmlformats-officedocument.spreadsheetml.table+xml" PartName="/xl/tables/table318.xml"/>
  <Override ContentType="application/vnd.openxmlformats-officedocument.spreadsheetml.table+xml" PartName="/xl/tables/table188.xml"/>
  <Override ContentType="application/vnd.openxmlformats-officedocument.spreadsheetml.table+xml" PartName="/xl/tables/table415.xml"/>
  <Override ContentType="application/vnd.openxmlformats-officedocument.spreadsheetml.table+xml" PartName="/xl/tables/table65.xml"/>
  <Override ContentType="application/vnd.openxmlformats-officedocument.spreadsheetml.table+xml" PartName="/xl/tables/table447.xml"/>
  <Override ContentType="application/vnd.openxmlformats-officedocument.spreadsheetml.table+xml" PartName="/xl/tables/table34.xml"/>
  <Override ContentType="application/vnd.openxmlformats-officedocument.spreadsheetml.table+xml" PartName="/xl/tables/table397.xml"/>
  <Override ContentType="application/vnd.openxmlformats-officedocument.spreadsheetml.table+xml" PartName="/xl/tables/table366.xml"/>
  <Override ContentType="application/vnd.openxmlformats-officedocument.spreadsheetml.table+xml" PartName="/xl/tables/table133.xml"/>
  <Override ContentType="application/vnd.openxmlformats-officedocument.spreadsheetml.table+xml" PartName="/xl/tables/table230.xml"/>
  <Override ContentType="application/vnd.openxmlformats-officedocument.spreadsheetml.table+xml" PartName="/xl/tables/table269.xml"/>
  <Override ContentType="application/vnd.openxmlformats-officedocument.spreadsheetml.table+xml" PartName="/xl/tables/table172.xml"/>
  <Override ContentType="application/vnd.openxmlformats-officedocument.spreadsheetml.table+xml" PartName="/xl/tables/table180.xml"/>
  <Override ContentType="application/vnd.openxmlformats-officedocument.spreadsheetml.table+xml" PartName="/xl/tables/table253.xml"/>
  <Override ContentType="application/vnd.openxmlformats-officedocument.spreadsheetml.table+xml" PartName="/xl/tables/table89.xml"/>
  <Override ContentType="application/vnd.openxmlformats-officedocument.spreadsheetml.table+xml" PartName="/xl/tables/table270.xml"/>
  <Override ContentType="application/vnd.openxmlformats-officedocument.spreadsheetml.table+xml" PartName="/xl/tables/table164.xml"/>
  <Override ContentType="application/vnd.openxmlformats-officedocument.spreadsheetml.table+xml" PartName="/xl/tables/table439.xml"/>
  <Override ContentType="application/vnd.openxmlformats-officedocument.spreadsheetml.table+xml" PartName="/xl/tables/table262.xml"/>
  <Override ContentType="application/vnd.openxmlformats-officedocument.spreadsheetml.table+xml" PartName="/xl/tables/table326.xml"/>
  <Override ContentType="application/vnd.openxmlformats-officedocument.spreadsheetml.table+xml" PartName="/xl/tables/table351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0.xml"/>
  <Override ContentType="application/vnd.openxmlformats-officedocument.spreadsheetml.table+xml" PartName="/xl/tables/table343.xml"/>
  <Override ContentType="application/vnd.openxmlformats-officedocument.spreadsheetml.table+xml" PartName="/xl/tables/table245.xml"/>
  <Override ContentType="application/vnd.openxmlformats-officedocument.spreadsheetml.table+xml" PartName="/xl/tables/table9.xml"/>
  <Override ContentType="application/vnd.openxmlformats-officedocument.spreadsheetml.table+xml" PartName="/xl/tables/table334.xml"/>
  <Override ContentType="application/vnd.openxmlformats-officedocument.spreadsheetml.table+xml" PartName="/xl/tables/table196.xml"/>
  <Override ContentType="application/vnd.openxmlformats-officedocument.spreadsheetml.table+xml" PartName="/xl/tables/table424.xml"/>
  <Override ContentType="application/vnd.openxmlformats-officedocument.spreadsheetml.table+xml" PartName="/xl/tables/table2.xml"/>
  <Override ContentType="application/vnd.openxmlformats-officedocument.spreadsheetml.table+xml" PartName="/xl/tables/table277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454.xml"/>
  <Override ContentType="application/vnd.openxmlformats-officedocument.spreadsheetml.table+xml" PartName="/xl/tables/table358.xml"/>
  <Override ContentType="application/vnd.openxmlformats-officedocument.spreadsheetml.table+xml" PartName="/xl/tables/table42.xml"/>
  <Override ContentType="application/vnd.openxmlformats-officedocument.spreadsheetml.table+xml" PartName="/xl/tables/table407.xml"/>
  <Override ContentType="application/vnd.openxmlformats-officedocument.spreadsheetml.table+xml" PartName="/xl/tables/table25.xml"/>
  <Override ContentType="application/vnd.openxmlformats-officedocument.spreadsheetml.table+xml" PartName="/xl/tables/table231.xml"/>
  <Override ContentType="application/vnd.openxmlformats-officedocument.spreadsheetml.table+xml" PartName="/xl/tables/table142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34.xml"/>
  <Override ContentType="application/vnd.openxmlformats-officedocument.spreadsheetml.table+xml" PartName="/xl/tables/table320.xml"/>
  <Override ContentType="application/vnd.openxmlformats-officedocument.spreadsheetml.table+xml" PartName="/xl/tables/table207.xml"/>
  <Override ContentType="application/vnd.openxmlformats-officedocument.spreadsheetml.table+xml" PartName="/xl/tables/table74.xml"/>
  <Override ContentType="application/vnd.openxmlformats-officedocument.spreadsheetml.table+xml" PartName="/xl/tables/table304.xml"/>
  <Override ContentType="application/vnd.openxmlformats-officedocument.spreadsheetml.table+xml" PartName="/xl/tables/table118.xml"/>
  <Override ContentType="application/vnd.openxmlformats-officedocument.spreadsheetml.table+xml" PartName="/xl/tables/table381.xml"/>
  <Override ContentType="application/vnd.openxmlformats-officedocument.spreadsheetml.table+xml" PartName="/xl/tables/table195.xml"/>
  <Override ContentType="application/vnd.openxmlformats-officedocument.spreadsheetml.table+xml" PartName="/xl/tables/table284.xml"/>
  <Override ContentType="application/vnd.openxmlformats-officedocument.spreadsheetml.table+xml" PartName="/xl/tables/table66.xml"/>
  <Override ContentType="application/vnd.openxmlformats-officedocument.spreadsheetml.table+xml" PartName="/xl/tables/table373.xml"/>
  <Override ContentType="application/vnd.openxmlformats-officedocument.spreadsheetml.table+xml" PartName="/xl/tables/table319.xml"/>
  <Override ContentType="application/vnd.openxmlformats-officedocument.spreadsheetml.table+xml" PartName="/xl/tables/table446.xml"/>
  <Override ContentType="application/vnd.openxmlformats-officedocument.spreadsheetml.table+xml" PartName="/xl/tables/table432.xml"/>
  <Override ContentType="application/vnd.openxmlformats-officedocument.spreadsheetml.table+xml" PartName="/xl/tables/table396.xml"/>
  <Override ContentType="application/vnd.openxmlformats-officedocument.spreadsheetml.table+xml" PartName="/xl/tables/table35.xml"/>
  <Override ContentType="application/vnd.openxmlformats-officedocument.spreadsheetml.table+xml" PartName="/xl/tables/table268.xml"/>
  <Override ContentType="application/vnd.openxmlformats-officedocument.spreadsheetml.table+xml" PartName="/xl/tables/table335.xml"/>
  <Override ContentType="application/vnd.openxmlformats-officedocument.spreadsheetml.table+xml" PartName="/xl/tables/table213.xml"/>
  <Override ContentType="application/vnd.openxmlformats-officedocument.spreadsheetml.table+xml" PartName="/xl/tables/table310.xml"/>
  <Override ContentType="application/vnd.openxmlformats-officedocument.spreadsheetml.table+xml" PartName="/xl/tables/table103.xml"/>
  <Override ContentType="application/vnd.openxmlformats-officedocument.spreadsheetml.table+xml" PartName="/xl/tables/table299.xml"/>
  <Override ContentType="application/vnd.openxmlformats-officedocument.spreadsheetml.table+xml" PartName="/xl/tables/table17.xml"/>
  <Override ContentType="application/vnd.openxmlformats-officedocument.spreadsheetml.table+xml" PartName="/xl/tables/table367.xml"/>
  <Override ContentType="application/vnd.openxmlformats-officedocument.spreadsheetml.table+xml" PartName="/xl/tables/table51.xml"/>
  <Override ContentType="application/vnd.openxmlformats-officedocument.spreadsheetml.table+xml" PartName="/xl/tables/table189.xml"/>
  <Override ContentType="application/vnd.openxmlformats-officedocument.spreadsheetml.table+xml" PartName="/xl/tables/table325.xml"/>
  <Override ContentType="application/vnd.openxmlformats-officedocument.spreadsheetml.table+xml" PartName="/xl/tables/table342.xml"/>
  <Override ContentType="application/vnd.openxmlformats-officedocument.spreadsheetml.table+xml" PartName="/xl/tables/table173.xml"/>
  <Override ContentType="application/vnd.openxmlformats-officedocument.spreadsheetml.table+xml" PartName="/xl/tables/table431.xml"/>
  <Override ContentType="application/vnd.openxmlformats-officedocument.spreadsheetml.table+xml" PartName="/xl/tables/table156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414.xml"/>
  <Override ContentType="application/vnd.openxmlformats-officedocument.spreadsheetml.table+xml" PartName="/xl/tables/table357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263.xml"/>
  <Override ContentType="application/vnd.openxmlformats-officedocument.spreadsheetml.table+xml" PartName="/xl/tables/table1.xml"/>
  <Override ContentType="application/vnd.openxmlformats-officedocument.spreadsheetml.table+xml" PartName="/xl/tables/table408.xml"/>
  <Override ContentType="application/vnd.openxmlformats-officedocument.spreadsheetml.table+xml" PartName="/xl/tables/table246.xml"/>
  <Override ContentType="application/vnd.openxmlformats-officedocument.spreadsheetml.table+xml" PartName="/xl/tables/table391.xml"/>
  <Override ContentType="application/vnd.openxmlformats-officedocument.spreadsheetml.table+xml" PartName="/xl/tables/table229.xml"/>
  <Override ContentType="application/vnd.openxmlformats-officedocument.spreadsheetml.table+xml" PartName="/xl/tables/table374.xml"/>
  <Override ContentType="application/vnd.openxmlformats-officedocument.spreadsheetml.table+xml" PartName="/xl/tables/table190.xml"/>
  <Override ContentType="application/vnd.openxmlformats-officedocument.spreadsheetml.table+xml" PartName="/xl/tables/table278.xml"/>
  <Override ContentType="application/vnd.openxmlformats-officedocument.spreadsheetml.table+xml" PartName="/xl/tables/table141.xml"/>
  <Override ContentType="application/vnd.openxmlformats-officedocument.spreadsheetml.table+xml" PartName="/xl/tables/table252.xml"/>
  <Override ContentType="application/vnd.openxmlformats-officedocument.spreadsheetml.table+xml" PartName="/xl/tables/table425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32.xml"/>
  <Override ContentType="application/vnd.openxmlformats-officedocument.spreadsheetml.table+xml" PartName="/xl/tables/table283.xml"/>
  <Override ContentType="application/vnd.openxmlformats-officedocument.spreadsheetml.table+xml" PartName="/xl/tables/table24.xml"/>
  <Override ContentType="application/vnd.openxmlformats-officedocument.spreadsheetml.table+xml" PartName="/xl/tables/table240.xml"/>
  <Override ContentType="application/vnd.openxmlformats-officedocument.spreadsheetml.table+xml" PartName="/xl/tables/table232.xml"/>
  <Override ContentType="application/vnd.openxmlformats-officedocument.spreadsheetml.table+xml" PartName="/xl/tables/table399.xml"/>
  <Override ContentType="application/vnd.openxmlformats-officedocument.spreadsheetml.table+xml" PartName="/xl/tables/table410.xml"/>
  <Override ContentType="application/vnd.openxmlformats-officedocument.spreadsheetml.table+xml" PartName="/xl/tables/table127.xml"/>
  <Override ContentType="application/vnd.openxmlformats-officedocument.spreadsheetml.table+xml" PartName="/xl/tables/table275.xml"/>
  <Override ContentType="application/vnd.openxmlformats-officedocument.spreadsheetml.table+xml" PartName="/xl/tables/table313.xml"/>
  <Override ContentType="application/vnd.openxmlformats-officedocument.spreadsheetml.table+xml" PartName="/xl/tables/table356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453.xml"/>
  <Override ContentType="application/vnd.openxmlformats-officedocument.spreadsheetml.table+xml" PartName="/xl/tables/table212.xml"/>
  <Override ContentType="application/vnd.openxmlformats-officedocument.spreadsheetml.table+xml" PartName="/xl/tables/table298.xml"/>
  <Override ContentType="application/vnd.openxmlformats-officedocument.spreadsheetml.table+xml" PartName="/xl/tables/table433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305.xml"/>
  <Override ContentType="application/vnd.openxmlformats-officedocument.spreadsheetml.table+xml" PartName="/xl/tables/table255.xml"/>
  <Override ContentType="application/vnd.openxmlformats-officedocument.spreadsheetml.table+xml" PartName="/xl/tables/table348.xml"/>
  <Override ContentType="application/vnd.openxmlformats-officedocument.spreadsheetml.table+xml" PartName="/xl/tables/table47.xml"/>
  <Override ContentType="application/vnd.openxmlformats-officedocument.spreadsheetml.table+xml" PartName="/xl/tables/table260.xml"/>
  <Override ContentType="application/vnd.openxmlformats-officedocument.spreadsheetml.table+xml" PartName="/xl/tables/table384.xml"/>
  <Override ContentType="application/vnd.openxmlformats-officedocument.spreadsheetml.table+xml" PartName="/xl/tables/table429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219.xml"/>
  <Override ContentType="application/vnd.openxmlformats-officedocument.spreadsheetml.table+xml" PartName="/xl/tables/table405.xml"/>
  <Override ContentType="application/vnd.openxmlformats-officedocument.spreadsheetml.table+xml" PartName="/xl/tables/table112.xml"/>
  <Override ContentType="application/vnd.openxmlformats-officedocument.spreadsheetml.table+xml" PartName="/xl/tables/table341.xml"/>
  <Override ContentType="application/vnd.openxmlformats-officedocument.spreadsheetml.table+xml" PartName="/xl/tables/table155.xml"/>
  <Override ContentType="application/vnd.openxmlformats-officedocument.spreadsheetml.table+xml" PartName="/xl/tables/table448.xml"/>
  <Override ContentType="application/vnd.openxmlformats-officedocument.spreadsheetml.table+xml" PartName="/xl/tables/table413.xml"/>
  <Override ContentType="application/vnd.openxmlformats-officedocument.spreadsheetml.table+xml" PartName="/xl/tables/table80.xml"/>
  <Override ContentType="application/vnd.openxmlformats-officedocument.spreadsheetml.table+xml" PartName="/xl/tables/table19.xml"/>
  <Override ContentType="application/vnd.openxmlformats-officedocument.spreadsheetml.table+xml" PartName="/xl/tables/table27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228.xml"/>
  <Override ContentType="application/vnd.openxmlformats-officedocument.spreadsheetml.table+xml" PartName="/xl/tables/table360.xml"/>
  <Override ContentType="application/vnd.openxmlformats-officedocument.spreadsheetml.table+xml" PartName="/xl/tables/table441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247.xml"/>
  <Override ContentType="application/vnd.openxmlformats-officedocument.spreadsheetml.table+xml" PartName="/xl/tables/table119.xml"/>
  <Override ContentType="application/vnd.openxmlformats-officedocument.spreadsheetml.table+xml" PartName="/xl/tables/table55.xml"/>
  <Override ContentType="application/vnd.openxmlformats-officedocument.spreadsheetml.table+xml" PartName="/xl/tables/table328.xml"/>
  <Override ContentType="application/vnd.openxmlformats-officedocument.spreadsheetml.table+xml" PartName="/xl/tables/table98.xml"/>
  <Override ContentType="application/vnd.openxmlformats-officedocument.spreadsheetml.table+xml" PartName="/xl/tables/table198.xml"/>
  <Override ContentType="application/vnd.openxmlformats-officedocument.spreadsheetml.table+xml" PartName="/xl/tables/table204.xml"/>
  <Override ContentType="application/vnd.openxmlformats-officedocument.spreadsheetml.table+xml" PartName="/xl/tables/table332.xml"/>
  <Override ContentType="application/vnd.openxmlformats-officedocument.spreadsheetml.table+xml" PartName="/xl/tables/table12.xml"/>
  <Override ContentType="application/vnd.openxmlformats-officedocument.spreadsheetml.table+xml" PartName="/xl/tables/table375.xml"/>
  <Override ContentType="application/vnd.openxmlformats-officedocument.spreadsheetml.table+xml" PartName="/xl/tables/table169.xml"/>
  <Override ContentType="application/vnd.openxmlformats-officedocument.spreadsheetml.table+xml" PartName="/xl/tables/table355.xml"/>
  <Override ContentType="application/vnd.openxmlformats-officedocument.spreadsheetml.table+xml" PartName="/xl/tables/table76.xml"/>
  <Override ContentType="application/vnd.openxmlformats-officedocument.spreadsheetml.table+xml" PartName="/xl/tables/table398.xml"/>
  <Override ContentType="application/vnd.openxmlformats-officedocument.spreadsheetml.table+xml" PartName="/xl/tables/table160.xml"/>
  <Override ContentType="application/vnd.openxmlformats-officedocument.spreadsheetml.table+xml" PartName="/xl/tables/table312.xml"/>
  <Override ContentType="application/vnd.openxmlformats-officedocument.spreadsheetml.table+xml" PartName="/xl/tables/table126.xml"/>
  <Override ContentType="application/vnd.openxmlformats-officedocument.spreadsheetml.table+xml" PartName="/xl/tables/table48.xml"/>
  <Override ContentType="application/vnd.openxmlformats-officedocument.spreadsheetml.table+xml" PartName="/xl/tables/table132.xml"/>
  <Override ContentType="application/vnd.openxmlformats-officedocument.spreadsheetml.table+xml" PartName="/xl/tables/table175.xml"/>
  <Override ContentType="application/vnd.openxmlformats-officedocument.spreadsheetml.table+xml" PartName="/xl/tables/table428.xml"/>
  <Override ContentType="application/vnd.openxmlformats-officedocument.spreadsheetml.table+xml" PartName="/xl/tables/table383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434.xml"/>
  <Override ContentType="application/vnd.openxmlformats-officedocument.spreadsheetml.table+xml" PartName="/xl/tables/table181.xml"/>
  <Override ContentType="application/vnd.openxmlformats-officedocument.spreadsheetml.table+xml" PartName="/xl/tables/table340.xml"/>
  <Override ContentType="application/vnd.openxmlformats-officedocument.spreadsheetml.table+xml" PartName="/xl/tables/table7.xml"/>
  <Override ContentType="application/vnd.openxmlformats-officedocument.spreadsheetml.table+xml" PartName="/xl/tables/table306.xml"/>
  <Override ContentType="application/vnd.openxmlformats-officedocument.spreadsheetml.table+xml" PartName="/xl/tables/table349.xml"/>
  <Override ContentType="application/vnd.openxmlformats-officedocument.spreadsheetml.table+xml" PartName="/xl/tables/table333.xml"/>
  <Override ContentType="application/vnd.openxmlformats-officedocument.spreadsheetml.table+xml" PartName="/xl/tables/table376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261.xml"/>
  <Override ContentType="application/vnd.openxmlformats-officedocument.spreadsheetml.table+xml" PartName="/xl/tables/table227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297.xml"/>
  <Override ContentType="application/vnd.openxmlformats-officedocument.spreadsheetml.table+xml" PartName="/xl/tables/table406.xml"/>
  <Override ContentType="application/vnd.openxmlformats-officedocument.spreadsheetml.table+xml" PartName="/xl/tables/table182.xml"/>
  <Override ContentType="application/vnd.openxmlformats-officedocument.spreadsheetml.table+xml" PartName="/xl/tables/table449.xml"/>
  <Override ContentType="application/vnd.openxmlformats-officedocument.spreadsheetml.table+xml" PartName="/xl/tables/table211.xml"/>
  <Override ContentType="application/vnd.openxmlformats-officedocument.spreadsheetml.table+xml" PartName="/xl/tables/table254.xml"/>
  <Override ContentType="application/vnd.openxmlformats-officedocument.spreadsheetml.table+xml" PartName="/xl/tables/table440.xml"/>
  <Override ContentType="application/vnd.openxmlformats-officedocument.spreadsheetml.table+xml" PartName="/xl/tables/table148.xml"/>
  <Override ContentType="application/vnd.openxmlformats-officedocument.spreadsheetml.table+xml" PartName="/xl/tables/table327.xml"/>
  <Override ContentType="application/vnd.openxmlformats-officedocument.spreadsheetml.table+xml" PartName="/xl/tables/table233.xml"/>
  <Override ContentType="application/vnd.openxmlformats-officedocument.spreadsheetml.table+xml" PartName="/xl/tables/table276.xml"/>
  <Override ContentType="application/vnd.openxmlformats-officedocument.spreadsheetml.table+xml" PartName="/xl/tables/table361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111.xml"/>
  <Override ContentType="application/vnd.openxmlformats-officedocument.spreadsheetml.table+xml" PartName="/xl/tables/table205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248.xml"/>
  <Override ContentType="application/vnd.openxmlformats-officedocument.spreadsheetml.table+xml" PartName="/xl/tables/table60.xml"/>
  <Override ContentType="application/vnd.openxmlformats-officedocument.spreadsheetml.table+xml" PartName="/xl/tables/table282.xml"/>
  <Override ContentType="application/vnd.openxmlformats-officedocument.spreadsheetml.table+xml" PartName="/xl/tables/table41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odelo 2º bi" sheetId="1" r:id="rId5"/>
    <sheet state="visible" name="7°A" sheetId="2" r:id="rId6"/>
    <sheet state="visible" name="7°B" sheetId="3" r:id="rId7"/>
    <sheet state="visible" name="7°C" sheetId="4" r:id="rId8"/>
    <sheet state="visible" name="7°D" sheetId="5" r:id="rId9"/>
    <sheet state="visible" name="8°A" sheetId="6" r:id="rId10"/>
    <sheet state="visible" name="8°B" sheetId="7" r:id="rId11"/>
    <sheet state="visible" name="8°C" sheetId="8" r:id="rId12"/>
    <sheet state="visible" name="8°D" sheetId="9" r:id="rId13"/>
    <sheet state="visible" name="8°E" sheetId="10" r:id="rId14"/>
    <sheet state="visible" name="9°A" sheetId="11" r:id="rId15"/>
    <sheet state="visible" name="9°B" sheetId="12" r:id="rId16"/>
    <sheet state="visible" name="9°C" sheetId="13" r:id="rId17"/>
  </sheets>
  <definedNames>
    <definedName hidden="1" localSheetId="1" name="_xlnm._FilterDatabase">'7°A'!$AA$6:$AA$34</definedName>
  </definedNames>
  <calcPr/>
</workbook>
</file>

<file path=xl/sharedStrings.xml><?xml version="1.0" encoding="utf-8"?>
<sst xmlns="http://schemas.openxmlformats.org/spreadsheetml/2006/main" count="23544" uniqueCount="91">
  <si>
    <t>Preencher "P" para presença e "F" para falta</t>
  </si>
  <si>
    <t>OUTUBRO</t>
  </si>
  <si>
    <t>AULAS</t>
  </si>
  <si>
    <t>NOVEMBRO</t>
  </si>
  <si>
    <t>DEZEMBRO</t>
  </si>
  <si>
    <t>MAIO</t>
  </si>
  <si>
    <t>X</t>
  </si>
  <si>
    <t>JUNHO</t>
  </si>
  <si>
    <t>JULHO</t>
  </si>
  <si>
    <t>AGOSTO</t>
  </si>
  <si>
    <t>Nº</t>
  </si>
  <si>
    <t>Nome</t>
  </si>
  <si>
    <t>Nasc</t>
  </si>
  <si>
    <t>FREQ</t>
  </si>
  <si>
    <t>OBS</t>
  </si>
  <si>
    <t>P</t>
  </si>
  <si>
    <t>F</t>
  </si>
  <si>
    <t>TR</t>
  </si>
  <si>
    <t/>
  </si>
  <si>
    <t>REM</t>
  </si>
  <si>
    <t>-</t>
  </si>
  <si>
    <t>TR - 26/05</t>
  </si>
  <si>
    <t>TR - 01/07</t>
  </si>
  <si>
    <t>AB/26/06</t>
  </si>
  <si>
    <t>reclassificada 8B</t>
  </si>
  <si>
    <t xml:space="preserve"> </t>
  </si>
  <si>
    <t>reclassificada 8c</t>
  </si>
  <si>
    <t>rec 8D</t>
  </si>
  <si>
    <t>Observações:</t>
  </si>
  <si>
    <t>TR 17/06</t>
  </si>
  <si>
    <t>TR - 04/08</t>
  </si>
  <si>
    <t>rem 7E</t>
  </si>
  <si>
    <t>TEA</t>
  </si>
  <si>
    <t>TR - 25/05</t>
  </si>
  <si>
    <t>TR - 30/06</t>
  </si>
  <si>
    <t>reclassificado 8A</t>
  </si>
  <si>
    <t>rem 7F</t>
  </si>
  <si>
    <t>PAULO HENRIQUE AMORIM, TRANSFERIDO 30/06</t>
  </si>
  <si>
    <t>João Pedro Rodrigues - TR 5/8 - p/ a UME Lorena</t>
  </si>
  <si>
    <t>matsupl - 21/08</t>
  </si>
  <si>
    <t>matsupl - 24/08</t>
  </si>
  <si>
    <t>DI</t>
  </si>
  <si>
    <t>21 de maio - Rafael foi embora na 3a aula pois estava passando mal</t>
  </si>
  <si>
    <t>TEA- TR 30/06</t>
  </si>
  <si>
    <t>RECL</t>
  </si>
  <si>
    <t xml:space="preserve"> F</t>
  </si>
  <si>
    <t>REM 8º C 06/08</t>
  </si>
  <si>
    <t>p</t>
  </si>
  <si>
    <t xml:space="preserve">               </t>
  </si>
  <si>
    <t>/</t>
  </si>
  <si>
    <t>TR - 22/07</t>
  </si>
  <si>
    <t>0,00%</t>
  </si>
  <si>
    <t>01/06 - Heloisa estava com dor de ouvido, foi embora às 9h50.</t>
  </si>
  <si>
    <t>12/6 Isabelli Merlinda chegou atrasada.</t>
  </si>
  <si>
    <t>23/07 - SAMUEL CAVALCANTE, TRANSFERIDO 23/07  - OBS. transferênica ainda não efetivada.   Lançar falta</t>
  </si>
  <si>
    <t>18/08 - Jamilly chegou atrasada.</t>
  </si>
  <si>
    <t>19/08 - Mirella chegou atrasada.</t>
  </si>
  <si>
    <t>31/08 - Jamilly saiu às 10h20, estava com dor no joelho.</t>
  </si>
  <si>
    <t>18/5 Nicollas saiu mais cedo: sentiu-se mal.</t>
  </si>
  <si>
    <t>19/5 - Vitor Hugo entrou na 3ª aula.</t>
  </si>
  <si>
    <t>29/5 - Heloisa Kamily chegou na 2ª aula, sentiu-se mal e foi embora. / João Victor chegou na 2ª aula.</t>
  </si>
  <si>
    <t>02/06 - Sophia sentiu-se mal e foi embora na 3ª aula.</t>
  </si>
  <si>
    <t>17/06 - Nicollas sentiu-se mal e foi embora na 3ª aula.</t>
  </si>
  <si>
    <t>14/08 - Pablo entrou na 3ª aula.</t>
  </si>
  <si>
    <t>21/08 - Fernanda e Yster entraram na 2ª aula.</t>
  </si>
  <si>
    <t>26/08 - Kaio e Kauã estavam presentes. A turma foi dispensada devido à realização do Conselho de Classe dos 7º anos.</t>
  </si>
  <si>
    <t>TR 26/06</t>
  </si>
  <si>
    <t xml:space="preserve">                    </t>
  </si>
  <si>
    <t>REM P/ 9B</t>
  </si>
  <si>
    <t>REM - 22/02</t>
  </si>
  <si>
    <t>REM 9C 04/05</t>
  </si>
  <si>
    <t>TR 26/05</t>
  </si>
  <si>
    <t>MAT - 15/07</t>
  </si>
  <si>
    <t>25/05 - Aluna Laura passou mal e foi dispensada na 4a aula</t>
  </si>
  <si>
    <t>29/05 - Chamada preenchida na primeira aula (as faltas não foram colocadas para que sejam preenchidas por algum professor das aulas seguintes - Prof. Paulo</t>
  </si>
  <si>
    <t>18/06 - Os alunos Alexandre e Gabrielly entraram na 2ª aula.</t>
  </si>
  <si>
    <t>01/07 - O aluno Erik entrou na 2ª aula.</t>
  </si>
  <si>
    <t>TR 13/04</t>
  </si>
  <si>
    <t>TR 08/05</t>
  </si>
  <si>
    <t>REM P/ 9C</t>
  </si>
  <si>
    <t>REM 28/07</t>
  </si>
  <si>
    <t>04/05 - Presença da aluna Ana Júlia (neste dia, a turma tinha sido dispensada)</t>
  </si>
  <si>
    <t>07/05 - A aluna Maria Eduarda Sousa pediu para ir embora após a 3ª aula pois estava com dor na perna.</t>
  </si>
  <si>
    <t>19/05 - Nº 24 chegou na 2ª aula.</t>
  </si>
  <si>
    <t>04/05 - Presenças das alunas Heloá e Geowana (neste dia, a turma tinha sido dispensada) - prof. Paulo</t>
  </si>
  <si>
    <t>21/05  - Alunos Davi e José Eric chegaram na 2a aula</t>
  </si>
  <si>
    <t>26/05 - Aluna Jenyfer passou mal e foi dispensada na 3a aula</t>
  </si>
  <si>
    <t>12/06 - A aluna Heloá entrou em sala de aula às 8h40 - prof. Paulo</t>
  </si>
  <si>
    <t>17/06 - A aluna Heloá entrou em sala de aula às 8h40 - prof. Paulo</t>
  </si>
  <si>
    <t>22/06 - O aluno Andrey brigou com outro aluno e não voltou à sala após a 3ª aula - prof. Paulo (o aluno foi suspenso por 3 dias)</t>
  </si>
  <si>
    <t>28/08 - Os alunos José Eric, João Pedro e Nicoly Sousa entraram após a 1ª aula.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</si>
</sst>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dd/mm"/>
    <numFmt numFmtId="166" formatCode="d/m"/>
    <numFmt numFmtId="167" formatCode="0.0%"/>
    <numFmt numFmtId="168" formatCode="00"/>
    <numFmt numFmtId="169" formatCode="dd/mm/yyyy"/>
  </numFmts>
  <fonts count="23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sz val="11.0"/>
      <color theme="1"/>
      <name val="Arial"/>
    </font>
    <font>
      <sz val="9.0"/>
      <color theme="1"/>
      <name val="Arial"/>
    </font>
    <font>
      <color theme="1"/>
      <name val="Arial"/>
    </font>
    <font>
      <sz val="10.0"/>
      <color theme="1"/>
      <name val="Nunito"/>
    </font>
    <font>
      <sz val="10.0"/>
      <color theme="1"/>
      <name val="Arial"/>
      <scheme val="minor"/>
    </font>
    <font>
      <strike/>
      <sz val="9.0"/>
      <color rgb="FFFF0000"/>
      <name val="Arial"/>
    </font>
    <font>
      <sz val="10.0"/>
      <color theme="1"/>
      <name val="Arial"/>
    </font>
    <font>
      <sz val="10.0"/>
      <color theme="1"/>
      <name val="Calibri"/>
    </font>
    <font>
      <b/>
      <color theme="1"/>
      <name val="Nunito"/>
    </font>
    <font>
      <sz val="11.0"/>
      <color theme="1"/>
      <name val="Calibri"/>
    </font>
    <font>
      <sz val="11.0"/>
      <color theme="1"/>
      <name val="Nunito"/>
    </font>
    <font>
      <b/>
      <sz val="11.0"/>
      <color theme="1"/>
      <name val="Nunito"/>
    </font>
    <font>
      <sz val="10.0"/>
      <color rgb="FF000000"/>
      <name val="Arial"/>
    </font>
    <font>
      <sz val="9.0"/>
      <color rgb="FFFF0000"/>
      <name val="Arial"/>
    </font>
    <font>
      <strike/>
      <color rgb="FFFF0000"/>
      <name val="Arial"/>
      <scheme val="minor"/>
    </font>
    <font>
      <strike/>
      <color rgb="FFFF0000"/>
      <name val="Arial"/>
    </font>
    <font>
      <color rgb="FFFF0000"/>
      <name val="Arial"/>
    </font>
    <font>
      <color theme="1"/>
      <name val="Nunito"/>
    </font>
    <font>
      <sz val="9.0"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B7E1CD"/>
        <bgColor rgb="FFB7E1CD"/>
      </patternFill>
    </fill>
    <fill>
      <patternFill patternType="solid">
        <fgColor rgb="FFB7B7B7"/>
        <bgColor rgb="FFB7B7B7"/>
      </patternFill>
    </fill>
    <fill>
      <patternFill patternType="solid">
        <fgColor rgb="FFC0504D"/>
        <bgColor rgb="FFC0504D"/>
      </patternFill>
    </fill>
    <fill>
      <patternFill patternType="solid">
        <fgColor rgb="FF666666"/>
        <bgColor rgb="FF666666"/>
      </patternFill>
    </fill>
    <fill>
      <patternFill patternType="solid">
        <fgColor rgb="FFF6F6F6"/>
        <bgColor rgb="FFF6F6F6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3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3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readingOrder="0"/>
    </xf>
    <xf borderId="1" fillId="2" fontId="4" numFmtId="0" xfId="0" applyAlignment="1" applyBorder="1" applyFill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2" fontId="3" numFmtId="0" xfId="0" applyAlignment="1" applyBorder="1" applyFill="1" applyFont="1">
      <alignment horizontal="center" readingOrder="0"/>
    </xf>
    <xf borderId="4" fillId="4" fontId="3" numFmtId="0" xfId="0" applyAlignment="1" applyBorder="1" applyFill="1" applyFont="1">
      <alignment horizontal="center" readingOrder="0"/>
    </xf>
    <xf borderId="4" fillId="0" fontId="3" numFmtId="0" xfId="0" applyBorder="1" applyFont="1"/>
    <xf borderId="4" fillId="0" fontId="3" numFmtId="0" xfId="0" applyAlignment="1" applyBorder="1" applyFont="1">
      <alignment horizontal="center"/>
    </xf>
    <xf borderId="4" fillId="0" fontId="3" numFmtId="10" xfId="0" applyAlignment="1" applyBorder="1" applyFont="1" applyNumberFormat="1">
      <alignment horizontal="center" readingOrder="0"/>
    </xf>
    <xf borderId="4" fillId="2" fontId="4" numFmtId="0" xfId="0" applyAlignment="1" applyBorder="1" applyFill="1" applyFont="1">
      <alignment horizontal="center" readingOrder="0"/>
    </xf>
    <xf borderId="4" fillId="5" fontId="3" numFmtId="0" xfId="0" applyAlignment="1" applyBorder="1" applyFill="1" applyFont="1">
      <alignment horizontal="center" readingOrder="0"/>
    </xf>
    <xf borderId="4" fillId="6" fontId="5" numFmtId="0" xfId="0" applyAlignment="1" applyBorder="1" applyFill="1" applyFont="1">
      <alignment vertical="bottom"/>
    </xf>
    <xf borderId="4" fillId="5" fontId="6" numFmtId="164" xfId="0" applyAlignment="1" applyBorder="1" applyFill="1" applyFont="1" applyNumberFormat="1">
      <alignment vertical="bottom"/>
    </xf>
    <xf borderId="4" fillId="7" fontId="7" numFmtId="0" xfId="0" applyAlignment="1" applyBorder="1" applyFill="1" applyFont="1">
      <alignment horizontal="center"/>
    </xf>
    <xf borderId="4" fillId="7" fontId="7" numFmtId="0" xfId="0" applyAlignment="1" applyBorder="1" applyFill="1" applyFont="1">
      <alignment horizontal="center" readingOrder="0"/>
    </xf>
    <xf borderId="4" fillId="0" fontId="8" numFmtId="0" xfId="0" applyAlignment="1" applyBorder="1" applyFont="1">
      <alignment horizontal="center" readingOrder="0"/>
    </xf>
    <xf borderId="4" fillId="5" fontId="9" numFmtId="49" xfId="0" applyAlignment="1" applyBorder="1" applyFill="1" applyFont="1" applyNumberFormat="1">
      <alignment vertical="bottom"/>
    </xf>
    <xf borderId="4" fillId="5" fontId="5" numFmtId="0" xfId="0" applyAlignment="1" applyBorder="1" applyFill="1" applyFont="1">
      <alignment horizontal="center" vertical="bottom"/>
    </xf>
    <xf borderId="4" fillId="8" fontId="10" numFmtId="0" xfId="0" applyAlignment="1" applyBorder="1" applyFill="1" applyFont="1">
      <alignment horizontal="center" vertical="bottom"/>
    </xf>
    <xf borderId="12" fillId="8" fontId="10" numFmtId="0" xfId="0" applyBorder="1" applyFill="1" applyFont="1"/>
    <xf borderId="4" fillId="0" fontId="8" numFmtId="10" xfId="0" applyAlignment="1" applyBorder="1" applyFont="1" applyNumberFormat="1">
      <alignment horizontal="center" readingOrder="0"/>
    </xf>
    <xf borderId="4" fillId="5" fontId="9" numFmtId="0" xfId="0" applyAlignment="1" applyBorder="1" applyFill="1" applyFont="1">
      <alignment vertical="bottom"/>
    </xf>
    <xf borderId="12" fillId="7" fontId="7" numFmtId="0" xfId="0" applyAlignment="1" applyBorder="1" applyFill="1" applyFont="1">
      <alignment horizontal="center"/>
    </xf>
    <xf borderId="4" fillId="5" fontId="5" numFmtId="164" xfId="0" applyAlignment="1" applyBorder="1" applyFill="1" applyFont="1" applyNumberFormat="1">
      <alignment horizontal="center" vertical="bottom"/>
    </xf>
    <xf borderId="4" fillId="8" fontId="10" numFmtId="0" xfId="0" applyAlignment="1" applyBorder="1" applyFill="1" applyFont="1">
      <alignment vertical="bottom"/>
    </xf>
    <xf borderId="4" fillId="7" fontId="10" numFmtId="0" xfId="0" applyAlignment="1" applyBorder="1" applyFill="1" applyFont="1">
      <alignment horizontal="center" vertical="bottom"/>
    </xf>
    <xf borderId="4" fillId="8" fontId="10" numFmtId="10" xfId="0" applyAlignment="1" applyBorder="1" applyFill="1" applyFont="1" applyNumberFormat="1">
      <alignment horizontal="center" vertical="bottom"/>
    </xf>
    <xf borderId="4" fillId="8" fontId="10" numFmtId="0" xfId="0" applyAlignment="1" applyBorder="1" applyFill="1" applyFont="1">
      <alignment readingOrder="0" vertical="bottom"/>
    </xf>
    <xf borderId="12" fillId="8" fontId="11" numFmtId="0" xfId="0" applyBorder="1" applyFill="1" applyFont="1"/>
    <xf borderId="12" fillId="7" fontId="12" numFmtId="0" xfId="0" applyAlignment="1" applyBorder="1" applyFill="1" applyFont="1">
      <alignment horizontal="center"/>
    </xf>
    <xf borderId="12" fillId="7" fontId="12" numFmtId="0" xfId="0" applyAlignment="1" applyBorder="1" applyFill="1" applyFont="1">
      <alignment horizontal="center" readingOrder="0"/>
    </xf>
    <xf borderId="13" fillId="7" fontId="12" numFmtId="0" xfId="0" applyAlignment="1" applyBorder="1" applyFill="1" applyFont="1">
      <alignment horizontal="center"/>
    </xf>
    <xf borderId="4" fillId="0" fontId="5" numFmtId="0" xfId="0" applyAlignment="1" applyBorder="1" applyFont="1">
      <alignment vertical="bottom"/>
    </xf>
    <xf borderId="4" fillId="9" fontId="7" numFmtId="0" xfId="0" applyAlignment="1" applyBorder="1" applyFill="1" applyFont="1">
      <alignment horizontal="center"/>
    </xf>
    <xf borderId="4" fillId="8" fontId="6" numFmtId="10" xfId="0" applyAlignment="1" applyBorder="1" applyFill="1" applyFont="1" applyNumberFormat="1">
      <alignment horizontal="center" vertical="bottom"/>
    </xf>
    <xf borderId="12" fillId="8" fontId="13" numFmtId="0" xfId="0" applyBorder="1" applyFill="1" applyFont="1"/>
    <xf borderId="4" fillId="8" fontId="10" numFmtId="0" xfId="0" applyAlignment="1" applyBorder="1" applyFill="1" applyFont="1">
      <alignment horizontal="center" readingOrder="0" vertical="bottom"/>
    </xf>
    <xf borderId="14" fillId="9" fontId="12" numFmtId="0" xfId="0" applyAlignment="1" applyBorder="1" applyFill="1" applyFont="1">
      <alignment horizontal="center"/>
    </xf>
    <xf borderId="12" fillId="9" fontId="12" numFmtId="0" xfId="0" applyAlignment="1" applyBorder="1" applyFill="1" applyFont="1">
      <alignment horizontal="center" readingOrder="0"/>
    </xf>
    <xf borderId="4" fillId="0" fontId="8" numFmtId="0" xfId="0" applyAlignment="1" applyBorder="1" applyFont="1">
      <alignment horizontal="center"/>
    </xf>
    <xf borderId="15" fillId="7" fontId="12" numFmtId="0" xfId="0" applyAlignment="1" applyBorder="1" applyFill="1" applyFont="1">
      <alignment horizontal="center"/>
    </xf>
    <xf borderId="4" fillId="5" fontId="5" numFmtId="49" xfId="0" applyAlignment="1" applyBorder="1" applyFill="1" applyFont="1" applyNumberFormat="1">
      <alignment vertical="bottom"/>
    </xf>
    <xf borderId="4" fillId="5" fontId="6" numFmtId="164" xfId="0" applyAlignment="1" applyBorder="1" applyFill="1" applyFont="1" applyNumberFormat="1">
      <alignment horizontal="center" vertical="bottom"/>
    </xf>
    <xf borderId="4" fillId="0" fontId="5" numFmtId="49" xfId="0" applyAlignment="1" applyBorder="1" applyFont="1" applyNumberFormat="1">
      <alignment vertical="bottom"/>
    </xf>
    <xf borderId="4" fillId="0" fontId="6" numFmtId="164" xfId="0" applyAlignment="1" applyBorder="1" applyFont="1" applyNumberFormat="1">
      <alignment vertical="bottom"/>
    </xf>
    <xf borderId="4" fillId="0" fontId="10" numFmtId="0" xfId="0" applyAlignment="1" applyBorder="1" applyFont="1">
      <alignment horizontal="center" readingOrder="0"/>
    </xf>
    <xf borderId="12" fillId="7" fontId="12" numFmtId="0" xfId="0" applyAlignment="1" applyBorder="1" applyFill="1" applyFont="1">
      <alignment horizontal="center"/>
    </xf>
    <xf borderId="4" fillId="7" fontId="10" numFmtId="0" xfId="0" applyAlignment="1" applyBorder="1" applyFill="1" applyFont="1">
      <alignment horizontal="center"/>
    </xf>
    <xf borderId="4" fillId="5" fontId="5" numFmtId="49" xfId="0" applyAlignment="1" applyBorder="1" applyFill="1" applyFont="1" applyNumberFormat="1">
      <alignment vertical="bottom"/>
    </xf>
    <xf borderId="4" fillId="6" fontId="6" numFmtId="164" xfId="0" applyAlignment="1" applyBorder="1" applyFill="1" applyFont="1" applyNumberFormat="1">
      <alignment vertical="bottom"/>
    </xf>
    <xf borderId="4" fillId="6" fontId="10" numFmtId="0" xfId="0" applyAlignment="1" applyBorder="1" applyFill="1" applyFont="1">
      <alignment horizontal="center" readingOrder="0" vertical="bottom"/>
    </xf>
    <xf borderId="14" fillId="7" fontId="12" numFmtId="0" xfId="0" applyAlignment="1" applyBorder="1" applyFill="1" applyFont="1">
      <alignment horizontal="center"/>
    </xf>
    <xf borderId="4" fillId="7" fontId="10" numFmtId="0" xfId="0" applyAlignment="1" applyBorder="1" applyFill="1" applyFont="1">
      <alignment horizontal="center" readingOrder="0" vertical="bottom"/>
    </xf>
    <xf borderId="15" fillId="9" fontId="12" numFmtId="0" xfId="0" applyAlignment="1" applyBorder="1" applyFill="1" applyFont="1">
      <alignment horizontal="center"/>
    </xf>
    <xf borderId="4" fillId="5" fontId="9" numFmtId="0" xfId="0" applyAlignment="1" applyBorder="1" applyFill="1" applyFont="1">
      <alignment vertical="bottom"/>
    </xf>
    <xf borderId="4" fillId="0" fontId="6" numFmtId="0" xfId="0" applyAlignment="1" applyBorder="1" applyFont="1">
      <alignment readingOrder="0" vertical="bottom"/>
    </xf>
    <xf borderId="4" fillId="9" fontId="10" numFmtId="0" xfId="0" applyAlignment="1" applyBorder="1" applyFill="1" applyFont="1">
      <alignment horizontal="center" vertical="bottom"/>
    </xf>
    <xf borderId="14" fillId="7" fontId="12" numFmtId="0" xfId="0" applyAlignment="1" applyBorder="1" applyFill="1" applyFont="1">
      <alignment horizontal="center"/>
    </xf>
    <xf borderId="4" fillId="5" fontId="10" numFmtId="0" xfId="0" applyAlignment="1" applyBorder="1" applyFill="1" applyFont="1">
      <alignment horizontal="center" readingOrder="0" vertical="bottom"/>
    </xf>
    <xf borderId="4" fillId="9" fontId="10" numFmtId="0" xfId="0" applyAlignment="1" applyBorder="1" applyFill="1" applyFont="1">
      <alignment horizontal="center" vertical="bottom"/>
    </xf>
    <xf borderId="14" fillId="8" fontId="13" numFmtId="0" xfId="0" applyBorder="1" applyFill="1" applyFont="1"/>
    <xf borderId="4" fillId="7" fontId="10" numFmtId="0" xfId="0" applyAlignment="1" applyBorder="1" applyFill="1" applyFont="1">
      <alignment horizontal="center" vertical="bottom"/>
    </xf>
    <xf borderId="15" fillId="8" fontId="13" numFmtId="0" xfId="0" applyBorder="1" applyFill="1" applyFont="1"/>
    <xf borderId="12" fillId="9" fontId="12" numFmtId="0" xfId="0" applyAlignment="1" applyBorder="1" applyFill="1" applyFont="1">
      <alignment horizontal="center"/>
    </xf>
    <xf borderId="4" fillId="7" fontId="7" numFmtId="0" xfId="0" applyAlignment="1" applyBorder="1" applyFill="1" applyFont="1">
      <alignment horizontal="center" readingOrder="0"/>
    </xf>
    <xf borderId="4" fillId="0" fontId="6" numFmtId="164" xfId="0" applyAlignment="1" applyBorder="1" applyFont="1" applyNumberFormat="1">
      <alignment horizontal="center" vertical="bottom"/>
    </xf>
    <xf borderId="4" fillId="0" fontId="10" numFmtId="0" xfId="0" applyAlignment="1" applyBorder="1" applyFont="1">
      <alignment horizontal="center" readingOrder="0" vertical="bottom"/>
    </xf>
    <xf borderId="4" fillId="5" fontId="5" numFmtId="0" xfId="0" applyAlignment="1" applyBorder="1" applyFill="1" applyFont="1">
      <alignment vertical="bottom"/>
    </xf>
    <xf borderId="4" fillId="0" fontId="9" numFmtId="0" xfId="0" applyAlignment="1" applyBorder="1" applyFont="1">
      <alignment vertical="bottom"/>
    </xf>
    <xf borderId="15" fillId="7" fontId="12" numFmtId="0" xfId="0" applyAlignment="1" applyBorder="1" applyFill="1" applyFont="1">
      <alignment horizontal="center"/>
    </xf>
    <xf borderId="12" fillId="9" fontId="7" numFmtId="0" xfId="0" applyAlignment="1" applyBorder="1" applyFill="1" applyFont="1">
      <alignment horizontal="center"/>
    </xf>
    <xf borderId="14" fillId="9" fontId="12" numFmtId="0" xfId="0" applyAlignment="1" applyBorder="1" applyFill="1" applyFont="1">
      <alignment horizontal="center"/>
    </xf>
    <xf borderId="4" fillId="5" fontId="9" numFmtId="0" xfId="0" applyAlignment="1" applyBorder="1" applyFill="1" applyFont="1">
      <alignment vertical="bottom"/>
    </xf>
    <xf borderId="4" fillId="5" fontId="6" numFmtId="0" xfId="0" applyAlignment="1" applyBorder="1" applyFill="1" applyFont="1">
      <alignment readingOrder="0" vertical="bottom"/>
    </xf>
    <xf borderId="4" fillId="0" fontId="5" numFmtId="0" xfId="0" applyAlignment="1" applyBorder="1" applyFont="1">
      <alignment horizontal="center" vertical="bottom"/>
    </xf>
    <xf borderId="4" fillId="8" fontId="11" numFmtId="0" xfId="0" applyBorder="1" applyFill="1" applyFont="1"/>
    <xf borderId="4" fillId="0" fontId="8" numFmtId="0" xfId="0" applyAlignment="1" applyBorder="1" applyFont="1">
      <alignment horizontal="center" readingOrder="0"/>
    </xf>
    <xf borderId="4" fillId="6" fontId="5" numFmtId="49" xfId="0" applyAlignment="1" applyBorder="1" applyFill="1" applyFont="1" applyNumberFormat="1">
      <alignment vertical="bottom"/>
    </xf>
    <xf borderId="4" fillId="5" fontId="9" numFmtId="49" xfId="0" applyAlignment="1" applyBorder="1" applyFill="1" applyFont="1" applyNumberFormat="1">
      <alignment vertical="bottom"/>
    </xf>
    <xf borderId="4" fillId="6" fontId="5" numFmtId="0" xfId="0" applyAlignment="1" applyBorder="1" applyFill="1" applyFont="1">
      <alignment horizontal="center" vertical="bottom"/>
    </xf>
    <xf borderId="4" fillId="0" fontId="5" numFmtId="164" xfId="0" applyAlignment="1" applyBorder="1" applyFont="1" applyNumberFormat="1">
      <alignment horizontal="center" vertical="bottom"/>
    </xf>
    <xf borderId="0" fillId="0" fontId="3" numFmtId="10" xfId="0" applyAlignment="1" applyFont="1" applyNumberFormat="1">
      <alignment horizontal="center" readingOrder="0"/>
    </xf>
    <xf borderId="4" fillId="0" fontId="1" numFmtId="0" xfId="0" applyAlignment="1" applyBorder="1" applyFont="1">
      <alignment readingOrder="0"/>
    </xf>
    <xf borderId="16" fillId="0" fontId="3" numFmtId="0" xfId="0" applyAlignment="1" applyBorder="1" applyFont="1">
      <alignment shrinkToFit="0" wrapText="1"/>
    </xf>
    <xf borderId="17" fillId="0" fontId="2" numFmtId="0" xfId="0" applyBorder="1" applyFont="1"/>
    <xf borderId="4" fillId="5" fontId="9" numFmtId="49" xfId="0" applyAlignment="1" applyBorder="1" applyFill="1" applyFont="1" applyNumberFormat="1">
      <alignment vertical="bottom"/>
    </xf>
    <xf borderId="4" fillId="0" fontId="6" numFmtId="0" xfId="0" applyAlignment="1" applyBorder="1" applyFont="1">
      <alignment horizontal="center" readingOrder="0" vertical="bottom"/>
    </xf>
    <xf borderId="18" fillId="0" fontId="2" numFmtId="0" xfId="0" applyBorder="1" applyFont="1"/>
    <xf borderId="4" fillId="9" fontId="10" numFmtId="0" xfId="0" applyAlignment="1" applyBorder="1" applyFill="1" applyFont="1">
      <alignment horizontal="center" readingOrder="0" vertical="bottom"/>
    </xf>
    <xf borderId="4" fillId="5" fontId="9" numFmtId="49" xfId="0" applyAlignment="1" applyBorder="1" applyFill="1" applyFont="1" applyNumberFormat="1">
      <alignment vertical="bottom"/>
    </xf>
    <xf borderId="12" fillId="10" fontId="12" numFmtId="0" xfId="0" applyAlignment="1" applyBorder="1" applyFill="1" applyFont="1">
      <alignment horizontal="center"/>
    </xf>
    <xf borderId="4" fillId="5" fontId="9" numFmtId="0" xfId="0" applyAlignment="1" applyBorder="1" applyFill="1" applyFont="1">
      <alignment vertical="bottom"/>
    </xf>
    <xf borderId="15" fillId="9" fontId="12" numFmtId="0" xfId="0" applyAlignment="1" applyBorder="1" applyFill="1" applyFont="1">
      <alignment horizontal="center"/>
    </xf>
    <xf borderId="0" fillId="0" fontId="3" numFmtId="0" xfId="0" applyAlignment="1" applyFont="1">
      <alignment readingOrder="0"/>
    </xf>
    <xf borderId="4" fillId="0" fontId="8" numFmtId="0" xfId="0" applyAlignment="1" applyBorder="1" applyFont="1">
      <alignment readingOrder="0"/>
    </xf>
    <xf borderId="4" fillId="6" fontId="9" numFmtId="49" xfId="0" applyAlignment="1" applyBorder="1" applyFill="1" applyFont="1" applyNumberFormat="1">
      <alignment vertical="bottom"/>
    </xf>
    <xf borderId="4" fillId="0" fontId="5" numFmtId="0" xfId="0" applyAlignment="1" applyBorder="1" applyFont="1">
      <alignment horizontal="center" readingOrder="0" vertical="bottom"/>
    </xf>
    <xf borderId="15" fillId="8" fontId="13" numFmtId="0" xfId="0" applyBorder="1" applyFill="1" applyFont="1"/>
    <xf borderId="4" fillId="5" fontId="5" numFmtId="164" xfId="0" applyAlignment="1" applyBorder="1" applyFill="1" applyFont="1" applyNumberFormat="1">
      <alignment horizontal="center" vertical="bottom"/>
    </xf>
    <xf borderId="4" fillId="5" fontId="6" numFmtId="164" xfId="0" applyAlignment="1" applyBorder="1" applyFill="1" applyFont="1" applyNumberFormat="1">
      <alignment vertical="bottom"/>
    </xf>
    <xf borderId="4" fillId="6" fontId="5" numFmtId="0" xfId="0" applyAlignment="1" applyBorder="1" applyFill="1" applyFont="1">
      <alignment vertical="bottom"/>
    </xf>
    <xf borderId="4" fillId="7" fontId="14" numFmtId="0" xfId="0" applyAlignment="1" applyBorder="1" applyFill="1" applyFont="1">
      <alignment vertical="bottom"/>
    </xf>
    <xf borderId="4" fillId="5" fontId="6" numFmtId="164" xfId="0" applyAlignment="1" applyBorder="1" applyFill="1" applyFont="1" applyNumberFormat="1">
      <alignment readingOrder="0" vertical="bottom"/>
    </xf>
    <xf borderId="16" fillId="0" fontId="3" numFmtId="0" xfId="0" applyAlignment="1" applyBorder="1" applyFont="1">
      <alignment readingOrder="0" shrinkToFit="0" wrapText="1"/>
    </xf>
    <xf borderId="4" fillId="0" fontId="5" numFmtId="49" xfId="0" applyAlignment="1" applyBorder="1" applyFont="1" applyNumberFormat="1">
      <alignment shrinkToFit="1" wrapText="0"/>
    </xf>
    <xf borderId="4" fillId="6" fontId="6" numFmtId="165" xfId="0" applyAlignment="1" applyBorder="1" applyFill="1" applyFont="1" applyNumberFormat="1">
      <alignment horizontal="center" readingOrder="0" vertical="bottom"/>
    </xf>
    <xf borderId="12" fillId="7" fontId="7" numFmtId="0" xfId="0" applyAlignment="1" applyBorder="1" applyFill="1" applyFont="1">
      <alignment horizontal="center"/>
    </xf>
    <xf borderId="4" fillId="5" fontId="5" numFmtId="0" xfId="0" applyAlignment="1" applyBorder="1" applyFill="1" applyFont="1">
      <alignment vertical="bottom"/>
    </xf>
    <xf borderId="14" fillId="9" fontId="15" numFmtId="0" xfId="0" applyAlignment="1" applyBorder="1" applyFill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4" fillId="7" fontId="10" numFmtId="0" xfId="0" applyAlignment="1" applyBorder="1" applyFill="1" applyFont="1">
      <alignment horizontal="center"/>
    </xf>
    <xf borderId="12" fillId="8" fontId="11" numFmtId="10" xfId="0" applyBorder="1" applyFill="1" applyFont="1" applyNumberFormat="1"/>
    <xf borderId="4" fillId="5" fontId="6" numFmtId="164" xfId="0" applyAlignment="1" applyBorder="1" applyFill="1" applyFont="1" applyNumberFormat="1">
      <alignment horizontal="center" vertical="bottom"/>
    </xf>
    <xf borderId="4" fillId="6" fontId="6" numFmtId="164" xfId="0" applyAlignment="1" applyBorder="1" applyFill="1" applyFont="1" applyNumberFormat="1">
      <alignment horizontal="center" vertical="bottom"/>
    </xf>
    <xf borderId="14" fillId="9" fontId="14" numFmtId="0" xfId="0" applyAlignment="1" applyBorder="1" applyFill="1" applyFont="1">
      <alignment horizontal="center" vertical="bottom"/>
    </xf>
    <xf borderId="4" fillId="5" fontId="5" numFmtId="0" xfId="0" applyAlignment="1" applyBorder="1" applyFill="1" applyFont="1">
      <alignment readingOrder="0" vertical="bottom"/>
    </xf>
    <xf borderId="4" fillId="0" fontId="6" numFmtId="10" xfId="0" applyAlignment="1" applyBorder="1" applyFont="1" applyNumberFormat="1">
      <alignment horizontal="center" vertical="bottom"/>
    </xf>
    <xf borderId="4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4" numFmtId="0" xfId="0" applyAlignment="1" applyFont="1">
      <alignment horizontal="center"/>
    </xf>
    <xf borderId="16" fillId="0" fontId="4" numFmtId="0" xfId="0" applyAlignment="1" applyBorder="1" applyFont="1">
      <alignment horizontal="center" readingOrder="0"/>
    </xf>
    <xf borderId="16" fillId="0" fontId="4" numFmtId="0" xfId="0" applyAlignment="1" applyBorder="1" applyFont="1">
      <alignment horizontal="center" readingOrder="0" shrinkToFit="0" wrapText="1"/>
    </xf>
    <xf borderId="12" fillId="7" fontId="10" numFmtId="0" xfId="0" applyAlignment="1" applyBorder="1" applyFill="1" applyFont="1">
      <alignment horizontal="center"/>
    </xf>
    <xf borderId="16" fillId="0" fontId="4" numFmtId="0" xfId="0" applyAlignment="1" applyBorder="1" applyFont="1">
      <alignment horizontal="center" shrinkToFit="0" wrapText="1"/>
    </xf>
    <xf borderId="4" fillId="0" fontId="10" numFmtId="10" xfId="0" applyAlignment="1" applyBorder="1" applyFont="1" applyNumberFormat="1">
      <alignment horizontal="center" readingOrder="0"/>
    </xf>
    <xf borderId="4" fillId="0" fontId="6" numFmtId="10" xfId="0" applyAlignment="1" applyBorder="1" applyFont="1" applyNumberFormat="1">
      <alignment horizontal="center" readingOrder="0"/>
    </xf>
    <xf borderId="4" fillId="0" fontId="6" numFmtId="0" xfId="0" applyAlignment="1" applyBorder="1" applyFont="1">
      <alignment horizontal="center" readingOrder="0"/>
    </xf>
    <xf borderId="13" fillId="9" fontId="12" numFmtId="0" xfId="0" applyAlignment="1" applyBorder="1" applyFill="1" applyFont="1">
      <alignment horizontal="center"/>
    </xf>
    <xf borderId="14" fillId="7" fontId="10" numFmtId="0" xfId="0" applyAlignment="1" applyBorder="1" applyFill="1" applyFont="1">
      <alignment horizontal="center"/>
    </xf>
    <xf borderId="4" fillId="7" fontId="4" numFmtId="0" xfId="0" applyAlignment="1" applyBorder="1" applyFill="1" applyFont="1">
      <alignment horizontal="center" vertical="bottom"/>
    </xf>
    <xf borderId="14" fillId="9" fontId="10" numFmtId="0" xfId="0" applyAlignment="1" applyBorder="1" applyFill="1" applyFont="1">
      <alignment horizontal="center"/>
    </xf>
    <xf borderId="12" fillId="9" fontId="10" numFmtId="0" xfId="0" applyAlignment="1" applyBorder="1" applyFill="1" applyFont="1">
      <alignment horizontal="center"/>
    </xf>
    <xf borderId="12" fillId="11" fontId="16" numFmtId="0" xfId="0" applyAlignment="1" applyBorder="1" applyFill="1" applyFont="1">
      <alignment horizontal="center" readingOrder="0" vertical="center"/>
    </xf>
    <xf borderId="4" fillId="7" fontId="10" numFmtId="0" xfId="0" applyAlignment="1" applyBorder="1" applyFill="1" applyFont="1">
      <alignment horizontal="center" readingOrder="0"/>
    </xf>
    <xf borderId="4" fillId="9" fontId="10" numFmtId="0" xfId="0" applyAlignment="1" applyBorder="1" applyFill="1" applyFont="1">
      <alignment horizontal="center" readingOrder="0"/>
    </xf>
    <xf borderId="4" fillId="6" fontId="5" numFmtId="164" xfId="0" applyAlignment="1" applyBorder="1" applyFill="1" applyFont="1" applyNumberFormat="1">
      <alignment horizontal="center" vertical="bottom"/>
    </xf>
    <xf borderId="4" fillId="8" fontId="6" numFmtId="0" xfId="0" applyAlignment="1" applyBorder="1" applyFill="1" applyFont="1">
      <alignment vertical="bottom"/>
    </xf>
    <xf borderId="4" fillId="5" fontId="5" numFmtId="0" xfId="0" applyAlignment="1" applyBorder="1" applyFill="1" applyFont="1">
      <alignment horizontal="center" vertical="bottom"/>
    </xf>
    <xf borderId="4" fillId="8" fontId="6" numFmtId="0" xfId="0" applyAlignment="1" applyBorder="1" applyFill="1" applyFont="1">
      <alignment horizontal="center" readingOrder="0" vertical="bottom"/>
    </xf>
    <xf borderId="4" fillId="0" fontId="6" numFmtId="0" xfId="0" applyAlignment="1" applyBorder="1" applyFont="1">
      <alignment vertical="bottom"/>
    </xf>
    <xf borderId="4" fillId="0" fontId="3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4" fillId="7" fontId="12" numFmtId="0" xfId="0" applyAlignment="1" applyBorder="1" applyFill="1" applyFont="1">
      <alignment horizontal="center" readingOrder="0"/>
    </xf>
    <xf borderId="19" fillId="9" fontId="12" numFmtId="0" xfId="0" applyAlignment="1" applyBorder="1" applyFill="1" applyFont="1">
      <alignment horizontal="center"/>
    </xf>
    <xf borderId="20" fillId="9" fontId="12" numFmtId="0" xfId="0" applyAlignment="1" applyBorder="1" applyFill="1" applyFont="1">
      <alignment horizontal="center"/>
    </xf>
    <xf borderId="12" fillId="9" fontId="12" numFmtId="0" xfId="0" applyAlignment="1" applyBorder="1" applyFill="1" applyFont="1">
      <alignment horizontal="center"/>
    </xf>
    <xf borderId="20" fillId="7" fontId="12" numFmtId="0" xfId="0" applyAlignment="1" applyBorder="1" applyFill="1" applyFont="1">
      <alignment horizontal="center"/>
    </xf>
    <xf borderId="4" fillId="5" fontId="6" numFmtId="0" xfId="0" applyAlignment="1" applyBorder="1" applyFill="1" applyFont="1">
      <alignment horizontal="center" readingOrder="0" vertical="bottom"/>
    </xf>
    <xf borderId="21" fillId="7" fontId="12" numFmtId="0" xfId="0" applyAlignment="1" applyBorder="1" applyFill="1" applyFont="1">
      <alignment horizontal="center"/>
    </xf>
    <xf borderId="22" fillId="7" fontId="12" numFmtId="0" xfId="0" applyAlignment="1" applyBorder="1" applyFill="1" applyFont="1">
      <alignment horizontal="center"/>
    </xf>
    <xf borderId="22" fillId="7" fontId="12" numFmtId="0" xfId="0" applyAlignment="1" applyBorder="1" applyFill="1" applyFont="1">
      <alignment horizontal="center"/>
    </xf>
    <xf borderId="4" fillId="9" fontId="12" numFmtId="0" xfId="0" applyAlignment="1" applyBorder="1" applyFill="1" applyFont="1">
      <alignment horizontal="center" readingOrder="0"/>
    </xf>
    <xf borderId="19" fillId="7" fontId="12" numFmtId="0" xfId="0" applyAlignment="1" applyBorder="1" applyFill="1" applyFont="1">
      <alignment horizontal="center"/>
    </xf>
    <xf borderId="4" fillId="5" fontId="5" numFmtId="0" xfId="0" applyAlignment="1" applyBorder="1" applyFill="1" applyFont="1">
      <alignment vertical="bottom"/>
    </xf>
    <xf borderId="12" fillId="7" fontId="10" numFmtId="0" xfId="0" applyAlignment="1" applyBorder="1" applyFill="1" applyFont="1">
      <alignment horizontal="center"/>
    </xf>
    <xf borderId="21" fillId="9" fontId="12" numFmtId="0" xfId="0" applyAlignment="1" applyBorder="1" applyFill="1" applyFont="1">
      <alignment horizontal="center"/>
    </xf>
    <xf borderId="21" fillId="7" fontId="12" numFmtId="0" xfId="0" applyAlignment="1" applyBorder="1" applyFill="1" applyFont="1">
      <alignment horizontal="center"/>
    </xf>
    <xf borderId="4" fillId="0" fontId="6" numFmtId="0" xfId="0" applyAlignment="1" applyBorder="1" applyFont="1">
      <alignment horizontal="center" readingOrder="0" vertical="bottom"/>
    </xf>
    <xf borderId="22" fillId="9" fontId="12" numFmtId="0" xfId="0" applyAlignment="1" applyBorder="1" applyFill="1" applyFont="1">
      <alignment horizontal="center"/>
    </xf>
    <xf borderId="4" fillId="6" fontId="9" numFmtId="49" xfId="0" applyAlignment="1" applyBorder="1" applyFill="1" applyFont="1" applyNumberFormat="1">
      <alignment vertical="bottom"/>
    </xf>
    <xf borderId="4" fillId="8" fontId="6" numFmtId="0" xfId="0" applyAlignment="1" applyBorder="1" applyFill="1" applyFont="1">
      <alignment readingOrder="0" vertical="bottom"/>
    </xf>
    <xf borderId="21" fillId="8" fontId="13" numFmtId="0" xfId="0" applyBorder="1" applyFill="1" applyFont="1"/>
    <xf borderId="22" fillId="8" fontId="13" numFmtId="0" xfId="0" applyBorder="1" applyFill="1" applyFont="1"/>
    <xf borderId="4" fillId="0" fontId="17" numFmtId="0" xfId="0" applyAlignment="1" applyBorder="1" applyFont="1">
      <alignment horizontal="center" readingOrder="0" vertical="bottom"/>
    </xf>
    <xf borderId="12" fillId="8" fontId="12" numFmtId="0" xfId="0" applyAlignment="1" applyBorder="1" applyFill="1" applyFont="1">
      <alignment horizontal="center"/>
    </xf>
    <xf borderId="21" fillId="9" fontId="12" numFmtId="0" xfId="0" applyAlignment="1" applyBorder="1" applyFill="1" applyFont="1">
      <alignment horizontal="center"/>
    </xf>
    <xf borderId="4" fillId="12" fontId="3" numFmtId="0" xfId="0" applyAlignment="1" applyBorder="1" applyFill="1" applyFont="1">
      <alignment horizontal="center" readingOrder="0"/>
    </xf>
    <xf borderId="22" fillId="9" fontId="12" numFmtId="0" xfId="0" applyAlignment="1" applyBorder="1" applyFill="1" applyFont="1">
      <alignment horizontal="center"/>
    </xf>
    <xf borderId="4" fillId="5" fontId="18" numFmtId="0" xfId="0" applyAlignment="1" applyBorder="1" applyFill="1" applyFont="1">
      <alignment horizontal="center" readingOrder="0"/>
    </xf>
    <xf borderId="14" fillId="8" fontId="12" numFmtId="0" xfId="0" applyAlignment="1" applyBorder="1" applyFill="1" applyFont="1">
      <alignment horizontal="center"/>
    </xf>
    <xf borderId="15" fillId="8" fontId="12" numFmtId="0" xfId="0" applyAlignment="1" applyBorder="1" applyFill="1" applyFont="1">
      <alignment horizontal="center"/>
    </xf>
    <xf borderId="21" fillId="8" fontId="12" numFmtId="0" xfId="0" applyAlignment="1" applyBorder="1" applyFill="1" applyFont="1">
      <alignment horizontal="center"/>
    </xf>
    <xf borderId="22" fillId="8" fontId="12" numFmtId="0" xfId="0" applyAlignment="1" applyBorder="1" applyFill="1" applyFont="1">
      <alignment horizontal="center"/>
    </xf>
    <xf borderId="14" fillId="8" fontId="13" numFmtId="0" xfId="0" applyBorder="1" applyFill="1" applyFont="1"/>
    <xf borderId="22" fillId="8" fontId="13" numFmtId="0" xfId="0" applyBorder="1" applyFill="1" applyFont="1"/>
    <xf borderId="4" fillId="5" fontId="6" numFmtId="0" xfId="0" applyAlignment="1" applyBorder="1" applyFill="1" applyFont="1">
      <alignment vertical="bottom"/>
    </xf>
    <xf borderId="4" fillId="5" fontId="5" numFmtId="0" xfId="0" applyAlignment="1" applyBorder="1" applyFill="1" applyFont="1">
      <alignment horizontal="center" vertical="bottom"/>
    </xf>
    <xf borderId="0" fillId="5" fontId="5" numFmtId="0" xfId="0" applyAlignment="1" applyFill="1" applyFont="1">
      <alignment vertical="bottom"/>
    </xf>
    <xf borderId="0" fillId="6" fontId="6" numFmtId="164" xfId="0" applyAlignment="1" applyFill="1" applyFont="1" applyNumberFormat="1">
      <alignment vertical="bottom"/>
    </xf>
    <xf borderId="4" fillId="6" fontId="5" numFmtId="0" xfId="0" applyAlignment="1" applyBorder="1" applyFill="1" applyFont="1">
      <alignment readingOrder="0" vertical="bottom"/>
    </xf>
    <xf borderId="0" fillId="6" fontId="6" numFmtId="0" xfId="0" applyAlignment="1" applyFill="1" applyFont="1">
      <alignment vertical="bottom"/>
    </xf>
    <xf borderId="0" fillId="6" fontId="5" numFmtId="0" xfId="0" applyAlignment="1" applyFill="1" applyFont="1">
      <alignment vertical="bottom"/>
    </xf>
    <xf borderId="11" fillId="0" fontId="1" numFmtId="0" xfId="0" applyAlignment="1" applyBorder="1" applyFont="1">
      <alignment readingOrder="0"/>
    </xf>
    <xf borderId="4" fillId="5" fontId="5" numFmtId="0" xfId="0" applyAlignment="1" applyBorder="1" applyFill="1" applyFont="1">
      <alignment vertical="bottom"/>
    </xf>
    <xf borderId="4" fillId="6" fontId="6" numFmtId="164" xfId="0" applyAlignment="1" applyBorder="1" applyFill="1" applyFont="1" applyNumberFormat="1">
      <alignment readingOrder="0" vertical="bottom"/>
    </xf>
    <xf borderId="0" fillId="0" fontId="3" numFmtId="0" xfId="0" applyFont="1"/>
    <xf borderId="4" fillId="5" fontId="7" numFmtId="0" xfId="0" applyAlignment="1" applyBorder="1" applyFill="1" applyFont="1">
      <alignment vertical="bottom"/>
    </xf>
    <xf borderId="4" fillId="5" fontId="13" numFmtId="0" xfId="0" applyAlignment="1" applyBorder="1" applyFill="1" applyFont="1">
      <alignment vertical="bottom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0" fillId="0" fontId="3" numFmtId="166" xfId="0" applyAlignment="1" applyFont="1" applyNumberFormat="1">
      <alignment readingOrder="0"/>
    </xf>
    <xf borderId="4" fillId="5" fontId="6" numFmtId="0" xfId="0" applyAlignment="1" applyBorder="1" applyFill="1" applyFont="1">
      <alignment horizontal="center" vertical="bottom"/>
    </xf>
    <xf borderId="4" fillId="9" fontId="10" numFmtId="0" xfId="0" applyAlignment="1" applyBorder="1" applyFill="1" applyFont="1">
      <alignment horizontal="center"/>
    </xf>
    <xf borderId="4" fillId="0" fontId="10" numFmtId="3" xfId="0" applyAlignment="1" applyBorder="1" applyFont="1" applyNumberFormat="1">
      <alignment horizontal="center"/>
    </xf>
    <xf borderId="4" fillId="9" fontId="6" numFmtId="0" xfId="0" applyAlignment="1" applyBorder="1" applyFill="1" applyFont="1">
      <alignment horizontal="center"/>
    </xf>
    <xf borderId="4" fillId="7" fontId="6" numFmtId="0" xfId="0" applyAlignment="1" applyBorder="1" applyFill="1" applyFont="1">
      <alignment horizontal="center"/>
    </xf>
    <xf borderId="4" fillId="13" fontId="9" numFmtId="49" xfId="0" applyAlignment="1" applyBorder="1" applyFill="1" applyFont="1" applyNumberFormat="1">
      <alignment vertical="bottom"/>
    </xf>
    <xf borderId="4" fillId="9" fontId="6" numFmtId="0" xfId="0" applyAlignment="1" applyBorder="1" applyFill="1" applyFont="1">
      <alignment horizontal="center"/>
    </xf>
    <xf borderId="4" fillId="13" fontId="19" numFmtId="0" xfId="0" applyAlignment="1" applyBorder="1" applyFill="1" applyFont="1">
      <alignment horizontal="center" readingOrder="0" vertical="bottom"/>
    </xf>
    <xf borderId="4" fillId="8" fontId="6" numFmtId="0" xfId="0" applyAlignment="1" applyBorder="1" applyFill="1" applyFont="1">
      <alignment horizontal="center" vertical="bottom"/>
    </xf>
    <xf borderId="4" fillId="7" fontId="6" numFmtId="0" xfId="0" applyAlignment="1" applyBorder="1" applyFill="1" applyFont="1">
      <alignment horizontal="center"/>
    </xf>
    <xf borderId="4" fillId="13" fontId="5" numFmtId="49" xfId="0" applyAlignment="1" applyBorder="1" applyFill="1" applyFont="1" applyNumberFormat="1">
      <alignment vertical="bottom"/>
    </xf>
    <xf borderId="10" fillId="5" fontId="5" numFmtId="49" xfId="0" applyAlignment="1" applyBorder="1" applyFill="1" applyFont="1" applyNumberFormat="1">
      <alignment vertical="bottom"/>
    </xf>
    <xf borderId="4" fillId="8" fontId="10" numFmtId="0" xfId="0" applyAlignment="1" applyBorder="1" applyFill="1" applyFont="1">
      <alignment horizontal="center" readingOrder="0"/>
    </xf>
    <xf borderId="4" fillId="6" fontId="5" numFmtId="164" xfId="0" applyAlignment="1" applyBorder="1" applyFill="1" applyFont="1" applyNumberFormat="1">
      <alignment horizontal="center" vertical="bottom"/>
    </xf>
    <xf borderId="4" fillId="6" fontId="9" numFmtId="0" xfId="0" applyAlignment="1" applyBorder="1" applyFill="1" applyFont="1">
      <alignment vertical="bottom"/>
    </xf>
    <xf borderId="4" fillId="6" fontId="6" numFmtId="0" xfId="0" applyAlignment="1" applyBorder="1" applyFill="1" applyFont="1">
      <alignment readingOrder="0" vertical="bottom"/>
    </xf>
    <xf borderId="4" fillId="8" fontId="10" numFmtId="0" xfId="0" applyAlignment="1" applyBorder="1" applyFill="1" applyFont="1">
      <alignment horizontal="center"/>
    </xf>
    <xf borderId="4" fillId="8" fontId="4" numFmtId="0" xfId="0" applyBorder="1" applyFill="1" applyFont="1"/>
    <xf borderId="4" fillId="0" fontId="10" numFmtId="0" xfId="0" applyAlignment="1" applyBorder="1" applyFont="1">
      <alignment horizontal="center" readingOrder="0"/>
    </xf>
    <xf borderId="4" fillId="7" fontId="10" numFmtId="0" xfId="0" applyAlignment="1" applyBorder="1" applyFill="1" applyFont="1">
      <alignment horizontal="center" readingOrder="0" vertical="bottom"/>
    </xf>
    <xf borderId="4" fillId="6" fontId="5" numFmtId="49" xfId="0" applyAlignment="1" applyBorder="1" applyFill="1" applyFont="1" applyNumberFormat="1">
      <alignment vertical="bottom"/>
    </xf>
    <xf borderId="11" fillId="5" fontId="5" numFmtId="49" xfId="0" applyAlignment="1" applyBorder="1" applyFill="1" applyFont="1" applyNumberFormat="1">
      <alignment vertical="bottom"/>
    </xf>
    <xf borderId="4" fillId="9" fontId="10" numFmtId="0" xfId="0" applyAlignment="1" applyBorder="1" applyFill="1" applyFont="1">
      <alignment horizontal="center" readingOrder="0"/>
    </xf>
    <xf borderId="4" fillId="9" fontId="6" numFmtId="0" xfId="0" applyAlignment="1" applyBorder="1" applyFill="1" applyFont="1">
      <alignment horizontal="center" readingOrder="0"/>
    </xf>
    <xf borderId="23" fillId="8" fontId="13" numFmtId="0" xfId="0" applyAlignment="1" applyBorder="1" applyFill="1" applyFont="1">
      <alignment readingOrder="0"/>
    </xf>
    <xf borderId="4" fillId="5" fontId="6" numFmtId="0" xfId="0" applyAlignment="1" applyBorder="1" applyFill="1" applyFont="1">
      <alignment vertical="bottom"/>
    </xf>
    <xf borderId="11" fillId="5" fontId="5" numFmtId="49" xfId="0" applyAlignment="1" applyBorder="1" applyFill="1" applyFont="1" applyNumberFormat="1">
      <alignment vertical="bottom"/>
    </xf>
    <xf borderId="4" fillId="6" fontId="7" numFmtId="0" xfId="0" applyAlignment="1" applyBorder="1" applyFill="1" applyFont="1">
      <alignment vertical="bottom"/>
    </xf>
    <xf borderId="10" fillId="5" fontId="9" numFmtId="0" xfId="0" applyAlignment="1" applyBorder="1" applyFill="1" applyFont="1">
      <alignment vertical="bottom"/>
    </xf>
    <xf borderId="4" fillId="8" fontId="10" numFmtId="10" xfId="0" applyAlignment="1" applyBorder="1" applyFill="1" applyFont="1" applyNumberFormat="1">
      <alignment horizontal="center" readingOrder="0"/>
    </xf>
    <xf borderId="4" fillId="8" fontId="10" numFmtId="3" xfId="0" applyAlignment="1" applyBorder="1" applyFill="1" applyFont="1" applyNumberFormat="1">
      <alignment horizontal="center"/>
    </xf>
    <xf borderId="4" fillId="7" fontId="10" numFmtId="3" xfId="0" applyAlignment="1" applyBorder="1" applyFill="1" applyFont="1" applyNumberFormat="1">
      <alignment horizontal="center" vertical="bottom"/>
    </xf>
    <xf borderId="4" fillId="6" fontId="14" numFmtId="0" xfId="0" applyAlignment="1" applyBorder="1" applyFill="1" applyFont="1">
      <alignment vertical="bottom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7" fontId="10" numFmtId="0" xfId="0" applyAlignment="1" applyFill="1" applyFont="1">
      <alignment horizontal="center" vertical="bottom"/>
    </xf>
    <xf borderId="0" fillId="0" fontId="8" numFmtId="10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13" fontId="18" numFmtId="0" xfId="0" applyFill="1" applyFont="1"/>
    <xf borderId="4" fillId="6" fontId="6" numFmtId="164" xfId="0" applyAlignment="1" applyBorder="1" applyFill="1" applyFont="1" applyNumberFormat="1">
      <alignment vertical="bottom"/>
    </xf>
    <xf borderId="4" fillId="6" fontId="5" numFmtId="0" xfId="0" applyAlignment="1" applyBorder="1" applyFill="1" applyFont="1">
      <alignment vertical="bottom"/>
    </xf>
    <xf borderId="0" fillId="6" fontId="9" numFmtId="0" xfId="0" applyAlignment="1" applyFill="1" applyFont="1">
      <alignment vertical="bottom"/>
    </xf>
    <xf borderId="4" fillId="6" fontId="20" numFmtId="0" xfId="0" applyAlignment="1" applyBorder="1" applyFill="1" applyFont="1">
      <alignment readingOrder="0" vertical="bottom"/>
    </xf>
    <xf borderId="4" fillId="8" fontId="10" numFmtId="0" xfId="0" applyAlignment="1" applyBorder="1" applyFill="1" applyFont="1">
      <alignment horizontal="center" readingOrder="0" vertical="bottom"/>
    </xf>
    <xf borderId="4" fillId="5" fontId="5" numFmtId="0" xfId="0" applyAlignment="1" applyBorder="1" applyFill="1" applyFont="1">
      <alignment vertical="bottom"/>
    </xf>
    <xf borderId="4" fillId="5" fontId="6" numFmtId="0" xfId="0" applyAlignment="1" applyBorder="1" applyFill="1" applyFont="1">
      <alignment horizontal="center" readingOrder="0" vertical="bottom"/>
    </xf>
    <xf borderId="10" fillId="5" fontId="5" numFmtId="0" xfId="0" applyAlignment="1" applyBorder="1" applyFill="1" applyFont="1">
      <alignment horizontal="left" readingOrder="0" vertical="center"/>
    </xf>
    <xf borderId="4" fillId="5" fontId="6" numFmtId="164" xfId="0" applyAlignment="1" applyBorder="1" applyFill="1" applyFont="1" applyNumberFormat="1">
      <alignment readingOrder="0" vertical="bottom"/>
    </xf>
    <xf borderId="0" fillId="6" fontId="1" numFmtId="0" xfId="0" applyAlignment="1" applyFill="1" applyFont="1">
      <alignment readingOrder="0"/>
    </xf>
    <xf borderId="0" fillId="6" fontId="1" numFmtId="0" xfId="0" applyAlignment="1" applyFill="1" applyFont="1">
      <alignment horizontal="center" readingOrder="0"/>
    </xf>
    <xf borderId="11" fillId="5" fontId="1" numFmtId="0" xfId="0" applyAlignment="1" applyBorder="1" applyFill="1" applyFont="1">
      <alignment readingOrder="0"/>
    </xf>
    <xf borderId="0" fillId="5" fontId="1" numFmtId="0" xfId="0" applyAlignment="1" applyFill="1" applyFont="1">
      <alignment horizontal="center" readingOrder="0"/>
    </xf>
    <xf borderId="16" fillId="6" fontId="3" numFmtId="0" xfId="0" applyAlignment="1" applyBorder="1" applyFill="1" applyFont="1">
      <alignment readingOrder="0" shrinkToFit="0" wrapText="1"/>
    </xf>
    <xf borderId="17" fillId="6" fontId="2" numFmtId="0" xfId="0" applyBorder="1" applyFill="1" applyFont="1"/>
    <xf borderId="4" fillId="0" fontId="8" numFmtId="0" xfId="0" applyAlignment="1" applyBorder="1" applyFont="1">
      <alignment horizontal="center"/>
    </xf>
    <xf borderId="4" fillId="0" fontId="3" numFmtId="3" xfId="0" applyAlignment="1" applyBorder="1" applyFont="1" applyNumberFormat="1">
      <alignment horizontal="center"/>
    </xf>
    <xf borderId="4" fillId="0" fontId="3" numFmtId="167" xfId="0" applyAlignment="1" applyBorder="1" applyFont="1" applyNumberFormat="1">
      <alignment horizontal="center"/>
    </xf>
    <xf borderId="4" fillId="14" fontId="10" numFmtId="3" xfId="0" applyAlignment="1" applyBorder="1" applyFill="1" applyFont="1" applyNumberFormat="1">
      <alignment horizontal="center"/>
    </xf>
    <xf borderId="4" fillId="0" fontId="3" numFmtId="3" xfId="0" applyAlignment="1" applyBorder="1" applyFont="1" applyNumberFormat="1">
      <alignment horizontal="center" readingOrder="0"/>
    </xf>
    <xf borderId="12" fillId="7" fontId="21" numFmtId="0" xfId="0" applyAlignment="1" applyBorder="1" applyFill="1" applyFont="1">
      <alignment horizontal="center"/>
    </xf>
    <xf borderId="4" fillId="15" fontId="10" numFmtId="3" xfId="0" applyAlignment="1" applyBorder="1" applyFill="1" applyFont="1" applyNumberFormat="1">
      <alignment horizontal="center"/>
    </xf>
    <xf borderId="12" fillId="7" fontId="21" numFmtId="0" xfId="0" applyAlignment="1" applyBorder="1" applyFill="1" applyFont="1">
      <alignment horizontal="center"/>
    </xf>
    <xf borderId="4" fillId="16" fontId="10" numFmtId="3" xfId="0" applyAlignment="1" applyBorder="1" applyFill="1" applyFont="1" applyNumberFormat="1">
      <alignment horizontal="center"/>
    </xf>
    <xf borderId="12" fillId="9" fontId="21" numFmtId="0" xfId="0" applyAlignment="1" applyBorder="1" applyFill="1" applyFont="1">
      <alignment horizontal="center"/>
    </xf>
    <xf borderId="11" fillId="5" fontId="9" numFmtId="49" xfId="0" applyAlignment="1" applyBorder="1" applyFill="1" applyFont="1" applyNumberFormat="1">
      <alignment vertical="bottom"/>
    </xf>
    <xf borderId="4" fillId="8" fontId="6" numFmtId="0" xfId="0" applyAlignment="1" applyBorder="1" applyFill="1" applyFont="1">
      <alignment horizontal="center" readingOrder="0" vertical="bottom"/>
    </xf>
    <xf borderId="4" fillId="8" fontId="8" numFmtId="0" xfId="0" applyAlignment="1" applyBorder="1" applyFill="1" applyFont="1">
      <alignment horizontal="center" vertical="bottom"/>
    </xf>
    <xf borderId="4" fillId="8" fontId="8" numFmtId="0" xfId="0" applyAlignment="1" applyBorder="1" applyFill="1" applyFont="1">
      <alignment horizontal="center" readingOrder="0" vertical="bottom"/>
    </xf>
    <xf borderId="4" fillId="8" fontId="6" numFmtId="3" xfId="0" applyAlignment="1" applyBorder="1" applyFill="1" applyFont="1" applyNumberFormat="1">
      <alignment horizontal="center" vertical="bottom"/>
    </xf>
    <xf borderId="4" fillId="8" fontId="6" numFmtId="167" xfId="0" applyAlignment="1" applyBorder="1" applyFill="1" applyFont="1" applyNumberFormat="1">
      <alignment horizontal="center" vertical="bottom"/>
    </xf>
    <xf borderId="4" fillId="8" fontId="10" numFmtId="3" xfId="0" applyAlignment="1" applyBorder="1" applyFill="1" applyFont="1" applyNumberFormat="1">
      <alignment horizontal="center" vertical="bottom"/>
    </xf>
    <xf borderId="16" fillId="0" fontId="5" numFmtId="168" xfId="0" applyAlignment="1" applyBorder="1" applyFont="1" applyNumberFormat="1">
      <alignment horizontal="center" vertical="bottom"/>
    </xf>
    <xf borderId="12" fillId="9" fontId="21" numFmtId="0" xfId="0" applyAlignment="1" applyBorder="1" applyFill="1" applyFont="1">
      <alignment horizontal="center"/>
    </xf>
    <xf borderId="4" fillId="5" fontId="8" numFmtId="0" xfId="0" applyAlignment="1" applyBorder="1" applyFill="1" applyFont="1">
      <alignment horizontal="center" vertical="bottom"/>
    </xf>
    <xf borderId="0" fillId="5" fontId="5" numFmtId="49" xfId="0" applyAlignment="1" applyFill="1" applyFont="1" applyNumberFormat="1">
      <alignment vertical="bottom"/>
    </xf>
    <xf borderId="16" fillId="5" fontId="9" numFmtId="168" xfId="0" applyAlignment="1" applyBorder="1" applyFill="1" applyFont="1" applyNumberFormat="1">
      <alignment horizontal="center" vertical="bottom"/>
    </xf>
    <xf borderId="4" fillId="5" fontId="17" numFmtId="0" xfId="0" applyAlignment="1" applyBorder="1" applyFill="1" applyFont="1">
      <alignment horizontal="center" readingOrder="0" vertical="bottom"/>
    </xf>
    <xf borderId="4" fillId="6" fontId="6" numFmtId="0" xfId="0" applyAlignment="1" applyBorder="1" applyFill="1" applyFont="1">
      <alignment vertical="bottom"/>
    </xf>
    <xf borderId="4" fillId="8" fontId="3" numFmtId="10" xfId="0" applyAlignment="1" applyBorder="1" applyFill="1" applyFont="1" applyNumberFormat="1">
      <alignment horizontal="center" readingOrder="0"/>
    </xf>
    <xf borderId="4" fillId="0" fontId="3" numFmtId="167" xfId="0" applyAlignment="1" applyBorder="1" applyFont="1" applyNumberFormat="1">
      <alignment horizontal="center"/>
    </xf>
    <xf borderId="16" fillId="0" fontId="9" numFmtId="168" xfId="0" applyAlignment="1" applyBorder="1" applyFont="1" applyNumberFormat="1">
      <alignment horizontal="center" vertical="bottom"/>
    </xf>
    <xf borderId="4" fillId="13" fontId="20" numFmtId="0" xfId="0" applyAlignment="1" applyBorder="1" applyFill="1" applyFont="1">
      <alignment horizontal="center" readingOrder="0" vertical="bottom"/>
    </xf>
    <xf borderId="4" fillId="6" fontId="3" numFmtId="0" xfId="0" applyAlignment="1" applyBorder="1" applyFill="1" applyFont="1">
      <alignment horizontal="center" readingOrder="0"/>
    </xf>
    <xf borderId="12" fillId="9" fontId="21" numFmtId="0" xfId="0" applyAlignment="1" applyBorder="1" applyFill="1" applyFont="1">
      <alignment horizontal="center" readingOrder="0"/>
    </xf>
    <xf borderId="4" fillId="5" fontId="6" numFmtId="0" xfId="0" applyAlignment="1" applyBorder="1" applyFill="1" applyFont="1">
      <alignment horizontal="center" vertical="bottom"/>
    </xf>
    <xf borderId="0" fillId="5" fontId="5" numFmtId="0" xfId="0" applyAlignment="1" applyFill="1" applyFont="1">
      <alignment vertical="bottom"/>
    </xf>
    <xf borderId="4" fillId="6" fontId="5" numFmtId="0" xfId="0" applyAlignment="1" applyBorder="1" applyFill="1" applyFont="1">
      <alignment vertical="bottom"/>
    </xf>
    <xf borderId="4" fillId="9" fontId="10" numFmtId="0" xfId="0" applyAlignment="1" applyBorder="1" applyFill="1" applyFont="1">
      <alignment horizontal="center"/>
    </xf>
    <xf borderId="4" fillId="5" fontId="6" numFmtId="0" xfId="0" applyAlignment="1" applyBorder="1" applyFill="1" applyFont="1">
      <alignment horizontal="center" vertical="bottom"/>
    </xf>
    <xf borderId="4" fillId="6" fontId="8" numFmtId="0" xfId="0" applyAlignment="1" applyBorder="1" applyFill="1" applyFont="1">
      <alignment horizontal="center"/>
    </xf>
    <xf borderId="4" fillId="6" fontId="8" numFmtId="0" xfId="0" applyAlignment="1" applyBorder="1" applyFill="1" applyFont="1">
      <alignment horizontal="center" readingOrder="0"/>
    </xf>
    <xf borderId="4" fillId="5" fontId="8" numFmtId="0" xfId="0" applyAlignment="1" applyBorder="1" applyFill="1" applyFont="1">
      <alignment horizontal="center"/>
    </xf>
    <xf borderId="4" fillId="5" fontId="8" numFmtId="0" xfId="0" applyAlignment="1" applyBorder="1" applyFill="1" applyFont="1">
      <alignment horizontal="center" readingOrder="0"/>
    </xf>
    <xf borderId="4" fillId="0" fontId="5" numFmtId="168" xfId="0" applyAlignment="1" applyBorder="1" applyFont="1" applyNumberFormat="1">
      <alignment horizontal="center" vertical="bottom"/>
    </xf>
    <xf borderId="4" fillId="5" fontId="3" numFmtId="0" xfId="0" applyAlignment="1" applyBorder="1" applyFill="1" applyFont="1">
      <alignment readingOrder="0"/>
    </xf>
    <xf borderId="0" fillId="6" fontId="3" numFmtId="0" xfId="0" applyAlignment="1" applyFill="1" applyFont="1">
      <alignment horizontal="center"/>
    </xf>
    <xf borderId="11" fillId="6" fontId="1" numFmtId="0" xfId="0" applyAlignment="1" applyBorder="1" applyFill="1" applyFont="1">
      <alignment horizontal="center" readingOrder="0"/>
    </xf>
    <xf borderId="0" fillId="5" fontId="3" numFmtId="0" xfId="0" applyAlignment="1" applyFill="1" applyFont="1">
      <alignment horizontal="center"/>
    </xf>
    <xf borderId="16" fillId="5" fontId="3" numFmtId="0" xfId="0" applyAlignment="1" applyBorder="1" applyFill="1" applyFont="1">
      <alignment horizontal="left" readingOrder="0" shrinkToFit="0" wrapText="1"/>
    </xf>
    <xf borderId="17" fillId="5" fontId="2" numFmtId="0" xfId="0" applyBorder="1" applyFill="1" applyFont="1"/>
    <xf borderId="16" fillId="6" fontId="3" numFmtId="0" xfId="0" applyAlignment="1" applyBorder="1" applyFill="1" applyFont="1">
      <alignment horizontal="left" readingOrder="0" shrinkToFit="0" wrapText="1"/>
    </xf>
    <xf borderId="0" fillId="6" fontId="3" numFmtId="0" xfId="0" applyFill="1" applyFont="1"/>
    <xf borderId="0" fillId="5" fontId="3" numFmtId="0" xfId="0" applyFill="1" applyFont="1"/>
    <xf borderId="16" fillId="0" fontId="3" numFmtId="0" xfId="0" applyAlignment="1" applyBorder="1" applyFont="1">
      <alignment horizontal="left" shrinkToFit="0" wrapText="1"/>
    </xf>
    <xf borderId="16" fillId="5" fontId="9" numFmtId="168" xfId="0" applyAlignment="1" applyBorder="1" applyFill="1" applyFont="1" applyNumberFormat="1">
      <alignment vertical="bottom"/>
    </xf>
    <xf borderId="4" fillId="13" fontId="9" numFmtId="0" xfId="0" applyAlignment="1" applyBorder="1" applyFill="1" applyFont="1">
      <alignment vertical="bottom"/>
    </xf>
    <xf borderId="4" fillId="6" fontId="6" numFmtId="0" xfId="0" applyAlignment="1" applyBorder="1" applyFill="1" applyFont="1">
      <alignment horizontal="center" readingOrder="0" vertical="bottom"/>
    </xf>
    <xf borderId="4" fillId="8" fontId="3" numFmtId="0" xfId="0" applyAlignment="1" applyBorder="1" applyFill="1" applyFont="1">
      <alignment horizontal="center" readingOrder="0"/>
    </xf>
    <xf borderId="4" fillId="6" fontId="9" numFmtId="0" xfId="0" applyAlignment="1" applyBorder="1" applyFill="1" applyFont="1">
      <alignment vertical="bottom"/>
    </xf>
    <xf borderId="4" fillId="8" fontId="10" numFmtId="0" xfId="0" applyAlignment="1" applyBorder="1" applyFill="1" applyFont="1">
      <alignment readingOrder="0"/>
    </xf>
    <xf borderId="4" fillId="6" fontId="6" numFmtId="164" xfId="0" applyAlignment="1" applyBorder="1" applyFill="1" applyFont="1" applyNumberFormat="1">
      <alignment horizontal="center" vertical="bottom"/>
    </xf>
    <xf borderId="4" fillId="5" fontId="22" numFmtId="49" xfId="0" applyAlignment="1" applyBorder="1" applyFill="1" applyFont="1" applyNumberFormat="1">
      <alignment readingOrder="0" vertical="bottom"/>
    </xf>
    <xf borderId="4" fillId="6" fontId="6" numFmtId="164" xfId="0" applyAlignment="1" applyBorder="1" applyFill="1" applyFont="1" applyNumberFormat="1">
      <alignment horizontal="center" readingOrder="0" vertical="bottom"/>
    </xf>
    <xf borderId="4" fillId="5" fontId="5" numFmtId="169" xfId="0" applyAlignment="1" applyBorder="1" applyFill="1" applyFont="1" applyNumberFormat="1">
      <alignment vertical="bottom"/>
    </xf>
    <xf borderId="4" fillId="5" fontId="6" numFmtId="164" xfId="0" applyAlignment="1" applyBorder="1" applyFill="1" applyFont="1" applyNumberFormat="1">
      <alignment horizontal="center" readingOrder="0" vertical="bottom"/>
    </xf>
    <xf borderId="4" fillId="0" fontId="6" numFmtId="0" xfId="0" applyAlignment="1" applyBorder="1" applyFont="1">
      <alignment horizontal="center" vertical="bottom"/>
    </xf>
    <xf borderId="0" fillId="6" fontId="9" numFmtId="0" xfId="0" applyAlignment="1" applyFill="1" applyFont="1">
      <alignment vertical="bottom"/>
    </xf>
    <xf borderId="4" fillId="6" fontId="5" numFmtId="0" xfId="0" applyAlignment="1" applyBorder="1" applyFill="1" applyFont="1">
      <alignment horizontal="center" vertical="bottom"/>
    </xf>
    <xf borderId="4" fillId="0" fontId="6" numFmtId="3" xfId="0" applyAlignment="1" applyBorder="1" applyFont="1" applyNumberFormat="1">
      <alignment horizontal="center" vertical="bottom"/>
    </xf>
    <xf borderId="4" fillId="0" fontId="10" numFmtId="0" xfId="0" applyAlignment="1" applyBorder="1" applyFont="1">
      <alignment horizontal="center" readingOrder="0" vertical="bottom"/>
    </xf>
    <xf borderId="16" fillId="0" fontId="1" numFmtId="0" xfId="0" applyAlignment="1" applyBorder="1" applyFont="1">
      <alignment readingOrder="0"/>
    </xf>
    <xf borderId="0" fillId="11" fontId="13" numFmtId="0" xfId="0" applyFill="1" applyFont="1"/>
    <xf borderId="4" fillId="6" fontId="5" numFmtId="0" xfId="0" applyAlignment="1" applyBorder="1" applyFill="1" applyFont="1">
      <alignment readingOrder="0" vertical="bottom"/>
    </xf>
    <xf borderId="4" fillId="6" fontId="6" numFmtId="164" xfId="0" applyAlignment="1" applyBorder="1" applyFill="1" applyFont="1" applyNumberFormat="1">
      <alignment horizontal="center" readingOrder="0" vertical="bottom"/>
    </xf>
    <xf borderId="4" fillId="17" fontId="22" numFmtId="0" xfId="0" applyAlignment="1" applyBorder="1" applyFill="1" applyFont="1">
      <alignment readingOrder="0" vertical="bottom"/>
    </xf>
    <xf borderId="4" fillId="5" fontId="6" numFmtId="164" xfId="0" applyAlignment="1" applyBorder="1" applyFill="1" applyFont="1" applyNumberFormat="1">
      <alignment horizontal="center" readingOrder="0" vertical="bottom"/>
    </xf>
    <xf borderId="0" fillId="0" fontId="6" numFmtId="0" xfId="0" applyAlignment="1" applyFont="1">
      <alignment readingOrder="0" vertical="bottom"/>
    </xf>
    <xf borderId="16" fillId="6" fontId="1" numFmtId="0" xfId="0" applyAlignment="1" applyBorder="1" applyFill="1" applyFont="1">
      <alignment horizontal="left"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454">
    <tableStyle count="2" pivot="0" name="7°B-style">
      <tableStyleElement dxfId="1" type="firstRowStripe"/>
      <tableStyleElement dxfId="2" type="secondRowStripe"/>
    </tableStyle>
    <tableStyle count="2" pivot="0" name="7°C-style">
      <tableStyleElement dxfId="1" type="firstRowStripe"/>
      <tableStyleElement dxfId="2" type="secondRowStripe"/>
    </tableStyle>
    <tableStyle count="2" pivot="0" name="7°A-style">
      <tableStyleElement dxfId="1" type="firstRowStripe"/>
      <tableStyleElement dxfId="2" type="secondRowStripe"/>
    </tableStyle>
    <tableStyle count="2" pivot="0" name="7°B-style 2">
      <tableStyleElement dxfId="2" type="firstRowStripe"/>
      <tableStyleElement dxfId="2" type="secondRowStripe"/>
    </tableStyle>
    <tableStyle count="2" pivot="0" name="7°A-style 2">
      <tableStyleElement dxfId="2" type="firstRowStripe"/>
      <tableStyleElement dxfId="2" type="secondRowStripe"/>
    </tableStyle>
    <tableStyle count="2" pivot="0" name="7°B-style 3">
      <tableStyleElement dxfId="2" type="firstRowStripe"/>
      <tableStyleElement dxfId="2" type="secondRowStripe"/>
    </tableStyle>
    <tableStyle count="2" pivot="0" name="7°C-style 2">
      <tableStyleElement dxfId="1" type="firstRowStripe"/>
      <tableStyleElement dxfId="2" type="secondRowStripe"/>
    </tableStyle>
    <tableStyle count="2" pivot="0" name="7°B-style 4">
      <tableStyleElement dxfId="2" type="firstRowStripe"/>
      <tableStyleElement dxfId="2" type="secondRowStripe"/>
    </tableStyle>
    <tableStyle count="2" pivot="0" name="7°C-style 3">
      <tableStyleElement dxfId="2" type="firstRowStripe"/>
      <tableStyleElement dxfId="2" type="secondRowStripe"/>
    </tableStyle>
    <tableStyle count="2" pivot="0" name="7°A-style 3">
      <tableStyleElement dxfId="2" type="firstRowStripe"/>
      <tableStyleElement dxfId="2" type="secondRowStripe"/>
    </tableStyle>
    <tableStyle count="2" pivot="0" name="7°B-style 5">
      <tableStyleElement dxfId="2" type="firstRowStripe"/>
      <tableStyleElement dxfId="1" type="secondRowStripe"/>
    </tableStyle>
    <tableStyle count="2" pivot="0" name="7°C-style 4">
      <tableStyleElement dxfId="1" type="firstRowStripe"/>
      <tableStyleElement dxfId="2" type="secondRowStripe"/>
    </tableStyle>
    <tableStyle count="2" pivot="0" name="7°A-style 4">
      <tableStyleElement dxfId="2" type="firstRowStripe"/>
      <tableStyleElement dxfId="2" type="secondRowStripe"/>
    </tableStyle>
    <tableStyle count="2" pivot="0" name="7°B-style 6">
      <tableStyleElement dxfId="1" type="firstRowStripe"/>
      <tableStyleElement dxfId="2" type="secondRowStripe"/>
    </tableStyle>
    <tableStyle count="2" pivot="0" name="7°A-style 5">
      <tableStyleElement dxfId="1" type="firstRowStripe"/>
      <tableStyleElement dxfId="2" type="secondRowStripe"/>
    </tableStyle>
    <tableStyle count="2" pivot="0" name="7°B-style 7">
      <tableStyleElement dxfId="2" type="firstRowStripe"/>
      <tableStyleElement dxfId="2" type="secondRowStripe"/>
    </tableStyle>
    <tableStyle count="2" pivot="0" name="7°C-style 5">
      <tableStyleElement dxfId="1" type="firstRowStripe"/>
      <tableStyleElement dxfId="2" type="secondRowStripe"/>
    </tableStyle>
    <tableStyle count="2" pivot="0" name="7°A-style 6">
      <tableStyleElement dxfId="2" type="firstRowStripe"/>
      <tableStyleElement dxfId="2" type="secondRowStripe"/>
    </tableStyle>
    <tableStyle count="2" pivot="0" name="7°B-style 8">
      <tableStyleElement dxfId="2" type="firstRowStripe"/>
      <tableStyleElement dxfId="1" type="secondRowStripe"/>
    </tableStyle>
    <tableStyle count="2" pivot="0" name="7°C-style 6">
      <tableStyleElement dxfId="2" type="firstRowStripe"/>
      <tableStyleElement dxfId="2" type="secondRowStripe"/>
    </tableStyle>
    <tableStyle count="2" pivot="0" name="7°A-style 7">
      <tableStyleElement dxfId="1" type="firstRowStripe"/>
      <tableStyleElement dxfId="2" type="secondRowStripe"/>
    </tableStyle>
    <tableStyle count="2" pivot="0" name="7°C-style 7">
      <tableStyleElement dxfId="2" type="firstRowStripe"/>
      <tableStyleElement dxfId="2" type="secondRowStripe"/>
    </tableStyle>
    <tableStyle count="2" pivot="0" name="7°B-style 9">
      <tableStyleElement dxfId="1" type="firstRowStripe"/>
      <tableStyleElement dxfId="2" type="secondRowStripe"/>
    </tableStyle>
    <tableStyle count="2" pivot="0" name="7°A-style 8">
      <tableStyleElement dxfId="2" type="firstRowStripe"/>
      <tableStyleElement dxfId="2" type="secondRowStripe"/>
    </tableStyle>
    <tableStyle count="2" pivot="0" name="7°B-style 10">
      <tableStyleElement dxfId="2" type="firstRowStripe"/>
      <tableStyleElement dxfId="2" type="secondRowStripe"/>
    </tableStyle>
    <tableStyle count="2" pivot="0" name="7°C-style 8">
      <tableStyleElement dxfId="2" type="firstRowStripe"/>
      <tableStyleElement dxfId="2" type="secondRowStripe"/>
    </tableStyle>
    <tableStyle count="2" pivot="0" name="7°A-style 9">
      <tableStyleElement dxfId="2" type="firstRowStripe"/>
      <tableStyleElement dxfId="1" type="secondRowStripe"/>
    </tableStyle>
    <tableStyle count="2" pivot="0" name="7°B-style 11">
      <tableStyleElement dxfId="2" type="firstRowStripe"/>
      <tableStyleElement dxfId="2" type="secondRowStripe"/>
    </tableStyle>
    <tableStyle count="2" pivot="0" name="7°C-style 9">
      <tableStyleElement dxfId="2" type="firstRowStripe"/>
      <tableStyleElement dxfId="2" type="secondRowStripe"/>
    </tableStyle>
    <tableStyle count="2" pivot="0" name="7°A-style 10">
      <tableStyleElement dxfId="2" type="firstRowStripe"/>
      <tableStyleElement dxfId="2" type="secondRowStripe"/>
    </tableStyle>
    <tableStyle count="2" pivot="0" name="7°B-style 12">
      <tableStyleElement dxfId="1" type="firstRowStripe"/>
      <tableStyleElement dxfId="2" type="secondRowStripe"/>
    </tableStyle>
    <tableStyle count="2" pivot="0" name="7°C-style 10">
      <tableStyleElement dxfId="2" type="firstRowStripe"/>
      <tableStyleElement dxfId="2" type="secondRowStripe"/>
    </tableStyle>
    <tableStyle count="2" pivot="0" name="7°A-style 11">
      <tableStyleElement dxfId="1" type="firstRowStripe"/>
      <tableStyleElement dxfId="2" type="secondRowStripe"/>
    </tableStyle>
    <tableStyle count="2" pivot="0" name="7°B-style 13">
      <tableStyleElement dxfId="2" type="firstRowStripe"/>
      <tableStyleElement dxfId="2" type="secondRowStripe"/>
    </tableStyle>
    <tableStyle count="2" pivot="0" name="7°C-style 11">
      <tableStyleElement dxfId="2" type="firstRowStripe"/>
      <tableStyleElement dxfId="1" type="secondRowStripe"/>
    </tableStyle>
    <tableStyle count="2" pivot="0" name="7°A-style 12">
      <tableStyleElement dxfId="2" type="firstRowStripe"/>
      <tableStyleElement dxfId="2" type="secondRowStripe"/>
    </tableStyle>
    <tableStyle count="2" pivot="0" name="7°B-style 14">
      <tableStyleElement dxfId="1" type="firstRowStripe"/>
      <tableStyleElement dxfId="2" type="secondRowStripe"/>
    </tableStyle>
    <tableStyle count="2" pivot="0" name="7°A-style 13">
      <tableStyleElement dxfId="2" type="firstRowStripe"/>
      <tableStyleElement dxfId="2" type="secondRowStripe"/>
    </tableStyle>
    <tableStyle count="2" pivot="0" name="7°C-style 12">
      <tableStyleElement dxfId="2" type="firstRowStripe"/>
      <tableStyleElement dxfId="1" type="secondRowStripe"/>
    </tableStyle>
    <tableStyle count="2" pivot="0" name="7°B-style 15">
      <tableStyleElement dxfId="2" type="firstRowStripe"/>
      <tableStyleElement dxfId="2" type="secondRowStripe"/>
    </tableStyle>
    <tableStyle count="2" pivot="0" name="7°A-style 14">
      <tableStyleElement dxfId="1" type="firstRowStripe"/>
      <tableStyleElement dxfId="2" type="secondRowStripe"/>
    </tableStyle>
    <tableStyle count="2" pivot="0" name="7°C-style 13">
      <tableStyleElement dxfId="1" type="firstRowStripe"/>
      <tableStyleElement dxfId="2" type="secondRowStripe"/>
    </tableStyle>
    <tableStyle count="2" pivot="0" name="7°A-style 15">
      <tableStyleElement dxfId="1" type="firstRowStripe"/>
      <tableStyleElement dxfId="2" type="secondRowStripe"/>
    </tableStyle>
    <tableStyle count="2" pivot="0" name="7°B-style 16">
      <tableStyleElement dxfId="2" type="firstRowStripe"/>
      <tableStyleElement dxfId="2" type="secondRowStripe"/>
    </tableStyle>
    <tableStyle count="2" pivot="0" name="7°A-style 16">
      <tableStyleElement dxfId="2" type="firstRowStripe"/>
      <tableStyleElement dxfId="2" type="secondRowStripe"/>
    </tableStyle>
    <tableStyle count="2" pivot="0" name="7°C-style 14">
      <tableStyleElement dxfId="2" type="firstRowStripe"/>
      <tableStyleElement dxfId="2" type="secondRowStripe"/>
    </tableStyle>
    <tableStyle count="2" pivot="0" name="7°B-style 17">
      <tableStyleElement dxfId="2" type="firstRowStripe"/>
      <tableStyleElement dxfId="1" type="secondRowStripe"/>
    </tableStyle>
    <tableStyle count="2" pivot="0" name="7°A-style 17">
      <tableStyleElement dxfId="2" type="firstRowStripe"/>
      <tableStyleElement dxfId="1" type="secondRowStripe"/>
    </tableStyle>
    <tableStyle count="2" pivot="0" name="7°C-style 15">
      <tableStyleElement dxfId="1" type="firstRowStripe"/>
      <tableStyleElement dxfId="2" type="secondRowStripe"/>
    </tableStyle>
    <tableStyle count="2" pivot="0" name="7°A-style 18">
      <tableStyleElement dxfId="2" type="firstRowStripe"/>
      <tableStyleElement dxfId="1" type="secondRowStripe"/>
    </tableStyle>
    <tableStyle count="2" pivot="0" name="7°C-style 16">
      <tableStyleElement dxfId="2" type="firstRowStripe"/>
      <tableStyleElement dxfId="1" type="secondRowStripe"/>
    </tableStyle>
    <tableStyle count="2" pivot="0" name="7°A-style 19">
      <tableStyleElement dxfId="2" type="firstRowStripe"/>
      <tableStyleElement dxfId="2" type="secondRowStripe"/>
    </tableStyle>
    <tableStyle count="2" pivot="0" name="7°C-style 17">
      <tableStyleElement dxfId="1" type="firstRowStripe"/>
      <tableStyleElement dxfId="2" type="secondRowStripe"/>
    </tableStyle>
    <tableStyle count="2" pivot="0" name="7°A-style 20">
      <tableStyleElement dxfId="2" type="firstRowStripe"/>
      <tableStyleElement dxfId="1" type="secondRowStripe"/>
    </tableStyle>
    <tableStyle count="2" pivot="0" name="7°C-style 18">
      <tableStyleElement dxfId="1" type="firstRowStripe"/>
      <tableStyleElement dxfId="2" type="secondRowStripe"/>
    </tableStyle>
    <tableStyle count="2" pivot="0" name="7°C-style 19">
      <tableStyleElement dxfId="2" type="firstRowStripe"/>
      <tableStyleElement dxfId="2" type="secondRowStripe"/>
    </tableStyle>
    <tableStyle count="2" pivot="0" name="7°C-style 20">
      <tableStyleElement dxfId="1" type="firstRowStripe"/>
      <tableStyleElement dxfId="2" type="secondRowStripe"/>
    </tableStyle>
    <tableStyle count="2" pivot="0" name="7°C-style 21">
      <tableStyleElement dxfId="2" type="firstRowStripe"/>
      <tableStyleElement dxfId="2" type="secondRowStripe"/>
    </tableStyle>
    <tableStyle count="2" pivot="0" name="7°C-style 22">
      <tableStyleElement dxfId="2" type="firstRowStripe"/>
      <tableStyleElement dxfId="2" type="secondRowStripe"/>
    </tableStyle>
    <tableStyle count="2" pivot="0" name="7°C-style 23">
      <tableStyleElement dxfId="2" type="firstRowStripe"/>
      <tableStyleElement dxfId="1" type="secondRowStripe"/>
    </tableStyle>
    <tableStyle count="2" pivot="0" name="7°C-style 24">
      <tableStyleElement dxfId="2" type="firstRowStripe"/>
      <tableStyleElement dxfId="1" type="secondRowStripe"/>
    </tableStyle>
    <tableStyle count="2" pivot="0" name="7°C-style 25">
      <tableStyleElement dxfId="2" type="firstRowStripe"/>
      <tableStyleElement dxfId="1" type="secondRowStripe"/>
    </tableStyle>
    <tableStyle count="2" pivot="0" name="7°C-style 26">
      <tableStyleElement dxfId="2" type="firstRowStripe"/>
      <tableStyleElement dxfId="1" type="secondRowStripe"/>
    </tableStyle>
    <tableStyle count="2" pivot="0" name="7°C-style 27">
      <tableStyleElement dxfId="2" type="firstRowStripe"/>
      <tableStyleElement dxfId="2" type="secondRowStripe"/>
    </tableStyle>
    <tableStyle count="2" pivot="0" name="7°C-style 28">
      <tableStyleElement dxfId="2" type="firstRowStripe"/>
      <tableStyleElement dxfId="1" type="secondRowStripe"/>
    </tableStyle>
    <tableStyle count="2" pivot="0" name="7°C-style 29">
      <tableStyleElement dxfId="2" type="firstRowStripe"/>
      <tableStyleElement dxfId="2" type="secondRowStripe"/>
    </tableStyle>
    <tableStyle count="2" pivot="0" name="7°D-style">
      <tableStyleElement dxfId="1" type="firstRowStripe"/>
      <tableStyleElement dxfId="2" type="secondRowStripe"/>
    </tableStyle>
    <tableStyle count="2" pivot="0" name="7°D-style 2">
      <tableStyleElement dxfId="2" type="firstRowStripe"/>
      <tableStyleElement dxfId="2" type="secondRowStripe"/>
    </tableStyle>
    <tableStyle count="2" pivot="0" name="7°D-style 3">
      <tableStyleElement dxfId="2" type="firstRowStripe"/>
      <tableStyleElement dxfId="2" type="secondRowStripe"/>
    </tableStyle>
    <tableStyle count="2" pivot="0" name="7°D-style 4">
      <tableStyleElement dxfId="2" type="firstRowStripe"/>
      <tableStyleElement dxfId="2" type="secondRowStripe"/>
    </tableStyle>
    <tableStyle count="2" pivot="0" name="7°D-style 5">
      <tableStyleElement dxfId="2" type="firstRowStripe"/>
      <tableStyleElement dxfId="2" type="secondRowStripe"/>
    </tableStyle>
    <tableStyle count="2" pivot="0" name="7°D-style 6">
      <tableStyleElement dxfId="2" type="firstRowStripe"/>
      <tableStyleElement dxfId="1" type="secondRowStripe"/>
    </tableStyle>
    <tableStyle count="2" pivot="0" name="7°D-style 7">
      <tableStyleElement dxfId="2" type="firstRowStripe"/>
      <tableStyleElement dxfId="2" type="secondRowStripe"/>
    </tableStyle>
    <tableStyle count="2" pivot="0" name="7°D-style 8">
      <tableStyleElement dxfId="1" type="firstRowStripe"/>
      <tableStyleElement dxfId="2" type="secondRowStripe"/>
    </tableStyle>
    <tableStyle count="2" pivot="0" name="7°D-style 9">
      <tableStyleElement dxfId="2" type="firstRowStripe"/>
      <tableStyleElement dxfId="1" type="secondRowStripe"/>
    </tableStyle>
    <tableStyle count="2" pivot="0" name="7°D-style 10">
      <tableStyleElement dxfId="2" type="firstRowStripe"/>
      <tableStyleElement dxfId="2" type="secondRowStripe"/>
    </tableStyle>
    <tableStyle count="2" pivot="0" name="7°D-style 11">
      <tableStyleElement dxfId="1" type="firstRowStripe"/>
      <tableStyleElement dxfId="2" type="secondRowStripe"/>
    </tableStyle>
    <tableStyle count="2" pivot="0" name="7°D-style 12">
      <tableStyleElement dxfId="2" type="firstRowStripe"/>
      <tableStyleElement dxfId="2" type="secondRowStripe"/>
    </tableStyle>
    <tableStyle count="2" pivot="0" name="7°D-style 13">
      <tableStyleElement dxfId="2" type="firstRowStripe"/>
      <tableStyleElement dxfId="2" type="secondRowStripe"/>
    </tableStyle>
    <tableStyle count="2" pivot="0" name="7°D-style 14">
      <tableStyleElement dxfId="2" type="firstRowStripe"/>
      <tableStyleElement dxfId="1" type="secondRowStripe"/>
    </tableStyle>
    <tableStyle count="2" pivot="0" name="7°D-style 15">
      <tableStyleElement dxfId="2" type="firstRowStripe"/>
      <tableStyleElement dxfId="1" type="secondRowStripe"/>
    </tableStyle>
    <tableStyle count="2" pivot="0" name="7°D-style 16">
      <tableStyleElement dxfId="2" type="firstRowStripe"/>
      <tableStyleElement dxfId="1" type="secondRowStripe"/>
    </tableStyle>
    <tableStyle count="2" pivot="0" name="7°D-style 17">
      <tableStyleElement dxfId="2" type="firstRowStripe"/>
      <tableStyleElement dxfId="2" type="secondRowStripe"/>
    </tableStyle>
    <tableStyle count="2" pivot="0" name="7°D-style 18">
      <tableStyleElement dxfId="2" type="firstRowStripe"/>
      <tableStyleElement dxfId="1" type="secondRowStripe"/>
    </tableStyle>
    <tableStyle count="2" pivot="0" name="8°A-style">
      <tableStyleElement dxfId="1" type="firstRowStripe"/>
      <tableStyleElement dxfId="2" type="secondRowStripe"/>
    </tableStyle>
    <tableStyle count="2" pivot="0" name="8°A-style 2">
      <tableStyleElement dxfId="2" type="firstRowStripe"/>
      <tableStyleElement dxfId="2" type="secondRowStripe"/>
    </tableStyle>
    <tableStyle count="2" pivot="0" name="8°A-style 3">
      <tableStyleElement dxfId="2" type="firstRowStripe"/>
      <tableStyleElement dxfId="2" type="secondRowStripe"/>
    </tableStyle>
    <tableStyle count="2" pivot="0" name="8°A-style 4">
      <tableStyleElement dxfId="2" type="firstRowStripe"/>
      <tableStyleElement dxfId="2" type="secondRowStripe"/>
    </tableStyle>
    <tableStyle count="2" pivot="0" name="8°A-style 5">
      <tableStyleElement dxfId="2" type="firstRowStripe"/>
      <tableStyleElement dxfId="2" type="secondRowStripe"/>
    </tableStyle>
    <tableStyle count="2" pivot="0" name="8°A-style 6">
      <tableStyleElement dxfId="2" type="firstRowStripe"/>
      <tableStyleElement dxfId="1" type="secondRowStripe"/>
    </tableStyle>
    <tableStyle count="2" pivot="0" name="8°A-style 7">
      <tableStyleElement dxfId="1" type="firstRowStripe"/>
      <tableStyleElement dxfId="2" type="secondRowStripe"/>
    </tableStyle>
    <tableStyle count="2" pivot="0" name="8°A-style 8">
      <tableStyleElement dxfId="1" type="firstRowStripe"/>
      <tableStyleElement dxfId="2" type="secondRowStripe"/>
    </tableStyle>
    <tableStyle count="2" pivot="0" name="8°A-style 9">
      <tableStyleElement dxfId="2" type="firstRowStripe"/>
      <tableStyleElement dxfId="2" type="secondRowStripe"/>
    </tableStyle>
    <tableStyle count="2" pivot="0" name="8°A-style 10">
      <tableStyleElement dxfId="2" type="firstRowStripe"/>
      <tableStyleElement dxfId="2" type="secondRowStripe"/>
    </tableStyle>
    <tableStyle count="2" pivot="0" name="8°A-style 11">
      <tableStyleElement dxfId="2" type="firstRowStripe"/>
      <tableStyleElement dxfId="1" type="secondRowStripe"/>
    </tableStyle>
    <tableStyle count="2" pivot="0" name="8°A-style 12">
      <tableStyleElement dxfId="2" type="firstRowStripe"/>
      <tableStyleElement dxfId="1" type="secondRowStripe"/>
    </tableStyle>
    <tableStyle count="2" pivot="0" name="8°B-style">
      <tableStyleElement dxfId="1" type="firstRowStripe"/>
      <tableStyleElement dxfId="2" type="secondRowStripe"/>
    </tableStyle>
    <tableStyle count="2" pivot="0" name="8°A-style 13">
      <tableStyleElement dxfId="2" type="firstRowStripe"/>
      <tableStyleElement dxfId="2" type="secondRowStripe"/>
    </tableStyle>
    <tableStyle count="2" pivot="0" name="8°B-style 2">
      <tableStyleElement dxfId="2" type="firstRowStripe"/>
      <tableStyleElement dxfId="1" type="secondRowStripe"/>
    </tableStyle>
    <tableStyle count="2" pivot="0" name="8°A-style 14">
      <tableStyleElement dxfId="2" type="firstRowStripe"/>
      <tableStyleElement dxfId="1" type="secondRowStripe"/>
    </tableStyle>
    <tableStyle count="2" pivot="0" name="8°B-style 3">
      <tableStyleElement dxfId="2" type="firstRowStripe"/>
      <tableStyleElement dxfId="1" type="secondRowStripe"/>
    </tableStyle>
    <tableStyle count="2" pivot="0" name="8°A-style 15">
      <tableStyleElement dxfId="2" type="firstRowStripe"/>
      <tableStyleElement dxfId="2" type="secondRowStripe"/>
    </tableStyle>
    <tableStyle count="2" pivot="0" name="8°A-style 16">
      <tableStyleElement dxfId="2" type="firstRowStripe"/>
      <tableStyleElement dxfId="2" type="secondRowStripe"/>
    </tableStyle>
    <tableStyle count="2" pivot="0" name="8°B-style 4">
      <tableStyleElement dxfId="2" type="firstRowStripe"/>
      <tableStyleElement dxfId="2" type="secondRowStripe"/>
    </tableStyle>
    <tableStyle count="2" pivot="0" name="8°A-style 17">
      <tableStyleElement dxfId="2" type="firstRowStripe"/>
      <tableStyleElement dxfId="1" type="secondRowStripe"/>
    </tableStyle>
    <tableStyle count="2" pivot="0" name="8°B-style 5">
      <tableStyleElement dxfId="2" type="firstRowStripe"/>
      <tableStyleElement dxfId="2" type="secondRowStripe"/>
    </tableStyle>
    <tableStyle count="2" pivot="0" name="8°A-style 18">
      <tableStyleElement dxfId="2" type="firstRowStripe"/>
      <tableStyleElement dxfId="2" type="secondRowStripe"/>
    </tableStyle>
    <tableStyle count="2" pivot="0" name="8°B-style 6">
      <tableStyleElement dxfId="2" type="firstRowStripe"/>
      <tableStyleElement dxfId="2" type="secondRowStripe"/>
    </tableStyle>
    <tableStyle count="2" pivot="0" name="8°B-style 7">
      <tableStyleElement dxfId="2" type="firstRowStripe"/>
      <tableStyleElement dxfId="1" type="secondRowStripe"/>
    </tableStyle>
    <tableStyle count="2" pivot="0" name="8°B-style 8">
      <tableStyleElement dxfId="2" type="firstRowStripe"/>
      <tableStyleElement dxfId="2" type="secondRowStripe"/>
    </tableStyle>
    <tableStyle count="2" pivot="0" name="8°B-style 9">
      <tableStyleElement dxfId="2" type="firstRowStripe"/>
      <tableStyleElement dxfId="1" type="secondRowStripe"/>
    </tableStyle>
    <tableStyle count="2" pivot="0" name="8°B-style 10">
      <tableStyleElement dxfId="2" type="firstRowStripe"/>
      <tableStyleElement dxfId="1" type="secondRowStripe"/>
    </tableStyle>
    <tableStyle count="2" pivot="0" name="8°B-style 11">
      <tableStyleElement dxfId="2" type="firstRowStripe"/>
      <tableStyleElement dxfId="1" type="secondRowStripe"/>
    </tableStyle>
    <tableStyle count="2" pivot="0" name="8°B-style 12">
      <tableStyleElement dxfId="2" type="firstRowStripe"/>
      <tableStyleElement dxfId="1" type="secondRowStripe"/>
    </tableStyle>
    <tableStyle count="2" pivot="0" name="8°B-style 13">
      <tableStyleElement dxfId="1" type="firstRowStripe"/>
      <tableStyleElement dxfId="2" type="secondRowStripe"/>
    </tableStyle>
    <tableStyle count="2" pivot="0" name="8°B-style 14">
      <tableStyleElement dxfId="2" type="firstRowStripe"/>
      <tableStyleElement dxfId="2" type="secondRowStripe"/>
    </tableStyle>
    <tableStyle count="2" pivot="0" name="8°B-style 15">
      <tableStyleElement dxfId="2" type="firstRowStripe"/>
      <tableStyleElement dxfId="1" type="secondRowStripe"/>
    </tableStyle>
    <tableStyle count="2" pivot="0" name="8°B-style 16">
      <tableStyleElement dxfId="2" type="firstRowStripe"/>
      <tableStyleElement dxfId="1" type="secondRowStripe"/>
    </tableStyle>
    <tableStyle count="2" pivot="0" name="8°B-style 17">
      <tableStyleElement dxfId="2" type="firstRowStripe"/>
      <tableStyleElement dxfId="2" type="secondRowStripe"/>
    </tableStyle>
    <tableStyle count="2" pivot="0" name="8°B-style 18">
      <tableStyleElement dxfId="2" type="firstRowStripe"/>
      <tableStyleElement dxfId="1" type="secondRowStripe"/>
    </tableStyle>
    <tableStyle count="2" pivot="0" name="8°B-style 19">
      <tableStyleElement dxfId="2" type="firstRowStripe"/>
      <tableStyleElement dxfId="1" type="secondRowStripe"/>
    </tableStyle>
    <tableStyle count="2" pivot="0" name="8°B-style 20">
      <tableStyleElement dxfId="2" type="firstRowStripe"/>
      <tableStyleElement dxfId="2" type="secondRowStripe"/>
    </tableStyle>
    <tableStyle count="2" pivot="0" name="8°B-style 21">
      <tableStyleElement dxfId="2" type="firstRowStripe"/>
      <tableStyleElement dxfId="1" type="secondRowStripe"/>
    </tableStyle>
    <tableStyle count="2" pivot="0" name="8°B-style 22">
      <tableStyleElement dxfId="2" type="firstRowStripe"/>
      <tableStyleElement dxfId="2" type="secondRowStripe"/>
    </tableStyle>
    <tableStyle count="2" pivot="0" name="8°B-style 23">
      <tableStyleElement dxfId="2" type="firstRowStripe"/>
      <tableStyleElement dxfId="1" type="secondRowStripe"/>
    </tableStyle>
    <tableStyle count="2" pivot="0" name="8°B-style 24">
      <tableStyleElement dxfId="2" type="firstRowStripe"/>
      <tableStyleElement dxfId="1" type="secondRowStripe"/>
    </tableStyle>
    <tableStyle count="2" pivot="0" name="8°B-style 25">
      <tableStyleElement dxfId="2" type="firstRowStripe"/>
      <tableStyleElement dxfId="2" type="secondRowStripe"/>
    </tableStyle>
    <tableStyle count="2" pivot="0" name="8°B-style 26">
      <tableStyleElement dxfId="2" type="firstRowStripe"/>
      <tableStyleElement dxfId="2" type="secondRowStripe"/>
    </tableStyle>
    <tableStyle count="2" pivot="0" name="8°B-style 27">
      <tableStyleElement dxfId="2" type="firstRowStripe"/>
      <tableStyleElement dxfId="1" type="secondRowStripe"/>
    </tableStyle>
    <tableStyle count="2" pivot="0" name="8°B-style 28">
      <tableStyleElement dxfId="2" type="firstRowStripe"/>
      <tableStyleElement dxfId="1" type="secondRowStripe"/>
    </tableStyle>
    <tableStyle count="2" pivot="0" name="8°B-style 29">
      <tableStyleElement dxfId="2" type="firstRowStripe"/>
      <tableStyleElement dxfId="1" type="secondRowStripe"/>
    </tableStyle>
    <tableStyle count="2" pivot="0" name="8°C-style">
      <tableStyleElement dxfId="1" type="firstRowStripe"/>
      <tableStyleElement dxfId="2" type="secondRowStripe"/>
    </tableStyle>
    <tableStyle count="2" pivot="0" name="8°C-style 2">
      <tableStyleElement dxfId="1" type="firstRowStripe"/>
      <tableStyleElement dxfId="2" type="secondRowStripe"/>
    </tableStyle>
    <tableStyle count="2" pivot="0" name="8°C-style 3">
      <tableStyleElement dxfId="1" type="firstRowStripe"/>
      <tableStyleElement dxfId="2" type="secondRowStripe"/>
    </tableStyle>
    <tableStyle count="2" pivot="0" name="8°C-style 4">
      <tableStyleElement dxfId="1" type="firstRowStripe"/>
      <tableStyleElement dxfId="2" type="secondRowStripe"/>
    </tableStyle>
    <tableStyle count="2" pivot="0" name="8°C-style 5">
      <tableStyleElement dxfId="1" type="firstRowStripe"/>
      <tableStyleElement dxfId="2" type="secondRowStripe"/>
    </tableStyle>
    <tableStyle count="2" pivot="0" name="8°C-style 6">
      <tableStyleElement dxfId="1" type="firstRowStripe"/>
      <tableStyleElement dxfId="2" type="secondRowStripe"/>
    </tableStyle>
    <tableStyle count="2" pivot="0" name="8°C-style 7">
      <tableStyleElement dxfId="1" type="firstRowStripe"/>
      <tableStyleElement dxfId="2" type="secondRowStripe"/>
    </tableStyle>
    <tableStyle count="2" pivot="0" name="8°C-style 8">
      <tableStyleElement dxfId="1" type="firstRowStripe"/>
      <tableStyleElement dxfId="2" type="secondRowStripe"/>
    </tableStyle>
    <tableStyle count="2" pivot="0" name="8°C-style 9">
      <tableStyleElement dxfId="2" type="firstRowStripe"/>
      <tableStyleElement dxfId="1" type="secondRowStripe"/>
    </tableStyle>
    <tableStyle count="2" pivot="0" name="8°C-style 10">
      <tableStyleElement dxfId="2" type="firstRowStripe"/>
      <tableStyleElement dxfId="2" type="secondRowStripe"/>
    </tableStyle>
    <tableStyle count="2" pivot="0" name="8°C-style 11">
      <tableStyleElement dxfId="2" type="firstRowStripe"/>
      <tableStyleElement dxfId="2" type="secondRowStripe"/>
    </tableStyle>
    <tableStyle count="2" pivot="0" name="8°C-style 12">
      <tableStyleElement dxfId="2" type="firstRowStripe"/>
      <tableStyleElement dxfId="2" type="secondRowStripe"/>
    </tableStyle>
    <tableStyle count="2" pivot="0" name="8°C-style 13">
      <tableStyleElement dxfId="2" type="firstRowStripe"/>
      <tableStyleElement dxfId="2" type="secondRowStripe"/>
    </tableStyle>
    <tableStyle count="2" pivot="0" name="8°C-style 14">
      <tableStyleElement dxfId="2" type="firstRowStripe"/>
      <tableStyleElement dxfId="2" type="secondRowStripe"/>
    </tableStyle>
    <tableStyle count="2" pivot="0" name="8°C-style 15">
      <tableStyleElement dxfId="2" type="firstRowStripe"/>
      <tableStyleElement dxfId="2" type="secondRowStripe"/>
    </tableStyle>
    <tableStyle count="2" pivot="0" name="8°C-style 16">
      <tableStyleElement dxfId="2" type="firstRowStripe"/>
      <tableStyleElement dxfId="2" type="secondRowStripe"/>
    </tableStyle>
    <tableStyle count="2" pivot="0" name="8°C-style 17">
      <tableStyleElement dxfId="2" type="firstRowStripe"/>
      <tableStyleElement dxfId="2" type="secondRowStripe"/>
    </tableStyle>
    <tableStyle count="2" pivot="0" name="8°C-style 18">
      <tableStyleElement dxfId="2" type="firstRowStripe"/>
      <tableStyleElement dxfId="2" type="secondRowStripe"/>
    </tableStyle>
    <tableStyle count="2" pivot="0" name="8°C-style 19">
      <tableStyleElement dxfId="2" type="firstRowStripe"/>
      <tableStyleElement dxfId="2" type="secondRowStripe"/>
    </tableStyle>
    <tableStyle count="2" pivot="0" name="8°C-style 20">
      <tableStyleElement dxfId="2" type="firstRowStripe"/>
      <tableStyleElement dxfId="2" type="secondRowStripe"/>
    </tableStyle>
    <tableStyle count="2" pivot="0" name="8°C-style 21">
      <tableStyleElement dxfId="2" type="firstRowStripe"/>
      <tableStyleElement dxfId="2" type="secondRowStripe"/>
    </tableStyle>
    <tableStyle count="2" pivot="0" name="8°C-style 22">
      <tableStyleElement dxfId="2" type="firstRowStripe"/>
      <tableStyleElement dxfId="2" type="secondRowStripe"/>
    </tableStyle>
    <tableStyle count="2" pivot="0" name="8°C-style 23">
      <tableStyleElement dxfId="2" type="firstRowStripe"/>
      <tableStyleElement dxfId="2" type="secondRowStripe"/>
    </tableStyle>
    <tableStyle count="2" pivot="0" name="8°C-style 24">
      <tableStyleElement dxfId="2" type="firstRowStripe"/>
      <tableStyleElement dxfId="2" type="secondRowStripe"/>
    </tableStyle>
    <tableStyle count="2" pivot="0" name="8°C-style 25">
      <tableStyleElement dxfId="2" type="firstRowStripe"/>
      <tableStyleElement dxfId="2" type="secondRowStripe"/>
    </tableStyle>
    <tableStyle count="2" pivot="0" name="8°C-style 26">
      <tableStyleElement dxfId="2" type="firstRowStripe"/>
      <tableStyleElement dxfId="2" type="secondRowStripe"/>
    </tableStyle>
    <tableStyle count="2" pivot="0" name="8°C-style 27">
      <tableStyleElement dxfId="2" type="firstRowStripe"/>
      <tableStyleElement dxfId="2" type="secondRowStripe"/>
    </tableStyle>
    <tableStyle count="2" pivot="0" name="8°C-style 28">
      <tableStyleElement dxfId="2" type="firstRowStripe"/>
      <tableStyleElement dxfId="2" type="secondRowStripe"/>
    </tableStyle>
    <tableStyle count="2" pivot="0" name="8°C-style 29">
      <tableStyleElement dxfId="2" type="firstRowStripe"/>
      <tableStyleElement dxfId="1" type="secondRowStripe"/>
    </tableStyle>
    <tableStyle count="2" pivot="0" name="8°C-style 30">
      <tableStyleElement dxfId="2" type="firstRowStripe"/>
      <tableStyleElement dxfId="2" type="secondRowStripe"/>
    </tableStyle>
    <tableStyle count="2" pivot="0" name="8°C-style 31">
      <tableStyleElement dxfId="2" type="firstRowStripe"/>
      <tableStyleElement dxfId="2" type="secondRowStripe"/>
    </tableStyle>
    <tableStyle count="2" pivot="0" name="8°C-style 32">
      <tableStyleElement dxfId="2" type="firstRowStripe"/>
      <tableStyleElement dxfId="2" type="secondRowStripe"/>
    </tableStyle>
    <tableStyle count="2" pivot="0" name="8°C-style 33">
      <tableStyleElement dxfId="2" type="firstRowStripe"/>
      <tableStyleElement dxfId="2" type="secondRowStripe"/>
    </tableStyle>
    <tableStyle count="2" pivot="0" name="8°C-style 34">
      <tableStyleElement dxfId="2" type="firstRowStripe"/>
      <tableStyleElement dxfId="2" type="secondRowStripe"/>
    </tableStyle>
    <tableStyle count="2" pivot="0" name="8°C-style 35">
      <tableStyleElement dxfId="2" type="firstRowStripe"/>
      <tableStyleElement dxfId="2" type="secondRowStripe"/>
    </tableStyle>
    <tableStyle count="2" pivot="0" name="8°C-style 36">
      <tableStyleElement dxfId="2" type="firstRowStripe"/>
      <tableStyleElement dxfId="2" type="secondRowStripe"/>
    </tableStyle>
    <tableStyle count="2" pivot="0" name="8°C-style 37">
      <tableStyleElement dxfId="2" type="firstRowStripe"/>
      <tableStyleElement dxfId="1" type="secondRowStripe"/>
    </tableStyle>
    <tableStyle count="2" pivot="0" name="8°C-style 38">
      <tableStyleElement dxfId="2" type="firstRowStripe"/>
      <tableStyleElement dxfId="1" type="secondRowStripe"/>
    </tableStyle>
    <tableStyle count="2" pivot="0" name="8°C-style 39">
      <tableStyleElement dxfId="2" type="firstRowStripe"/>
      <tableStyleElement dxfId="1" type="secondRowStripe"/>
    </tableStyle>
    <tableStyle count="2" pivot="0" name="8°C-style 40">
      <tableStyleElement dxfId="2" type="firstRowStripe"/>
      <tableStyleElement dxfId="1" type="secondRowStripe"/>
    </tableStyle>
    <tableStyle count="2" pivot="0" name="8°C-style 41">
      <tableStyleElement dxfId="2" type="firstRowStripe"/>
      <tableStyleElement dxfId="1" type="secondRowStripe"/>
    </tableStyle>
    <tableStyle count="2" pivot="0" name="8°C-style 42">
      <tableStyleElement dxfId="2" type="firstRowStripe"/>
      <tableStyleElement dxfId="1" type="secondRowStripe"/>
    </tableStyle>
    <tableStyle count="2" pivot="0" name="8°C-style 43">
      <tableStyleElement dxfId="2" type="firstRowStripe"/>
      <tableStyleElement dxfId="1" type="secondRowStripe"/>
    </tableStyle>
    <tableStyle count="2" pivot="0" name="8°C-style 44">
      <tableStyleElement dxfId="2" type="firstRowStripe"/>
      <tableStyleElement dxfId="1" type="secondRowStripe"/>
    </tableStyle>
    <tableStyle count="2" pivot="0" name="8°C-style 45">
      <tableStyleElement dxfId="1" type="firstRowStripe"/>
      <tableStyleElement dxfId="2" type="secondRowStripe"/>
    </tableStyle>
    <tableStyle count="2" pivot="0" name="8°C-style 46">
      <tableStyleElement dxfId="1" type="firstRowStripe"/>
      <tableStyleElement dxfId="2" type="secondRowStripe"/>
    </tableStyle>
    <tableStyle count="2" pivot="0" name="8°C-style 47">
      <tableStyleElement dxfId="1" type="firstRowStripe"/>
      <tableStyleElement dxfId="2" type="secondRowStripe"/>
    </tableStyle>
    <tableStyle count="2" pivot="0" name="8°C-style 48">
      <tableStyleElement dxfId="1" type="firstRowStripe"/>
      <tableStyleElement dxfId="2" type="secondRowStripe"/>
    </tableStyle>
    <tableStyle count="2" pivot="0" name="8°C-style 49">
      <tableStyleElement dxfId="1" type="firstRowStripe"/>
      <tableStyleElement dxfId="2" type="secondRowStripe"/>
    </tableStyle>
    <tableStyle count="2" pivot="0" name="8°C-style 50">
      <tableStyleElement dxfId="1" type="firstRowStripe"/>
      <tableStyleElement dxfId="2" type="secondRowStripe"/>
    </tableStyle>
    <tableStyle count="2" pivot="0" name="8°C-style 51">
      <tableStyleElement dxfId="2" type="firstRowStripe"/>
      <tableStyleElement dxfId="1" type="secondRowStripe"/>
    </tableStyle>
    <tableStyle count="2" pivot="0" name="8°C-style 52">
      <tableStyleElement dxfId="2" type="firstRowStripe"/>
      <tableStyleElement dxfId="1" type="secondRowStripe"/>
    </tableStyle>
    <tableStyle count="2" pivot="0" name="8°C-style 53">
      <tableStyleElement dxfId="2" type="firstRowStripe"/>
      <tableStyleElement dxfId="1" type="secondRowStripe"/>
    </tableStyle>
    <tableStyle count="2" pivot="0" name="8°C-style 54">
      <tableStyleElement dxfId="2" type="firstRowStripe"/>
      <tableStyleElement dxfId="1" type="secondRowStripe"/>
    </tableStyle>
    <tableStyle count="2" pivot="0" name="8°C-style 55">
      <tableStyleElement dxfId="2" type="firstRowStripe"/>
      <tableStyleElement dxfId="1" type="secondRowStripe"/>
    </tableStyle>
    <tableStyle count="2" pivot="0" name="8°C-style 56">
      <tableStyleElement dxfId="2" type="firstRowStripe"/>
      <tableStyleElement dxfId="1" type="secondRowStripe"/>
    </tableStyle>
    <tableStyle count="2" pivot="0" name="8°C-style 57">
      <tableStyleElement dxfId="2" type="firstRowStripe"/>
      <tableStyleElement dxfId="1" type="secondRowStripe"/>
    </tableStyle>
    <tableStyle count="2" pivot="0" name="8°C-style 58">
      <tableStyleElement dxfId="2" type="firstRowStripe"/>
      <tableStyleElement dxfId="1" type="secondRowStripe"/>
    </tableStyle>
    <tableStyle count="2" pivot="0" name="8°C-style 59">
      <tableStyleElement dxfId="2" type="firstRowStripe"/>
      <tableStyleElement dxfId="1" type="secondRowStripe"/>
    </tableStyle>
    <tableStyle count="2" pivot="0" name="8°C-style 60">
      <tableStyleElement dxfId="2" type="firstRowStripe"/>
      <tableStyleElement dxfId="1" type="secondRowStripe"/>
    </tableStyle>
    <tableStyle count="2" pivot="0" name="8°C-style 61">
      <tableStyleElement dxfId="1" type="firstRowStripe"/>
      <tableStyleElement dxfId="2" type="secondRowStripe"/>
    </tableStyle>
    <tableStyle count="2" pivot="0" name="8°C-style 62">
      <tableStyleElement dxfId="1" type="firstRowStripe"/>
      <tableStyleElement dxfId="2" type="secondRowStripe"/>
    </tableStyle>
    <tableStyle count="2" pivot="0" name="8°C-style 63">
      <tableStyleElement dxfId="1" type="firstRowStripe"/>
      <tableStyleElement dxfId="2" type="secondRowStripe"/>
    </tableStyle>
    <tableStyle count="2" pivot="0" name="8°C-style 64">
      <tableStyleElement dxfId="1" type="firstRowStripe"/>
      <tableStyleElement dxfId="2" type="secondRowStripe"/>
    </tableStyle>
    <tableStyle count="2" pivot="0" name="8°C-style 65">
      <tableStyleElement dxfId="1" type="firstRowStripe"/>
      <tableStyleElement dxfId="2" type="secondRowStripe"/>
    </tableStyle>
    <tableStyle count="2" pivot="0" name="8°C-style 66">
      <tableStyleElement dxfId="1" type="firstRowStripe"/>
      <tableStyleElement dxfId="2" type="secondRowStripe"/>
    </tableStyle>
    <tableStyle count="2" pivot="0" name="8°C-style 67">
      <tableStyleElement dxfId="1" type="firstRowStripe"/>
      <tableStyleElement dxfId="2" type="secondRowStripe"/>
    </tableStyle>
    <tableStyle count="2" pivot="0" name="8°C-style 68">
      <tableStyleElement dxfId="1" type="firstRowStripe"/>
      <tableStyleElement dxfId="2" type="secondRowStripe"/>
    </tableStyle>
    <tableStyle count="2" pivot="0" name="8°C-style 69">
      <tableStyleElement dxfId="1" type="firstRowStripe"/>
      <tableStyleElement dxfId="2" type="secondRowStripe"/>
    </tableStyle>
    <tableStyle count="2" pivot="0" name="8°C-style 70">
      <tableStyleElement dxfId="1" type="firstRowStripe"/>
      <tableStyleElement dxfId="2" type="secondRowStripe"/>
    </tableStyle>
    <tableStyle count="2" pivot="0" name="8°C-style 71">
      <tableStyleElement dxfId="1" type="firstRowStripe"/>
      <tableStyleElement dxfId="2" type="secondRowStripe"/>
    </tableStyle>
    <tableStyle count="2" pivot="0" name="8°C-style 72">
      <tableStyleElement dxfId="1" type="firstRowStripe"/>
      <tableStyleElement dxfId="2" type="secondRowStripe"/>
    </tableStyle>
    <tableStyle count="2" pivot="0" name="8°C-style 73">
      <tableStyleElement dxfId="1" type="firstRowStripe"/>
      <tableStyleElement dxfId="2" type="secondRowStripe"/>
    </tableStyle>
    <tableStyle count="2" pivot="0" name="8°C-style 74">
      <tableStyleElement dxfId="2" type="firstRowStripe"/>
      <tableStyleElement dxfId="2" type="secondRowStripe"/>
    </tableStyle>
    <tableStyle count="2" pivot="0" name="8°C-style 75">
      <tableStyleElement dxfId="2" type="firstRowStripe"/>
      <tableStyleElement dxfId="2" type="secondRowStripe"/>
    </tableStyle>
    <tableStyle count="2" pivot="0" name="8°C-style 76">
      <tableStyleElement dxfId="2" type="firstRowStripe"/>
      <tableStyleElement dxfId="2" type="secondRowStripe"/>
    </tableStyle>
    <tableStyle count="2" pivot="0" name="8°C-style 77">
      <tableStyleElement dxfId="2" type="firstRowStripe"/>
      <tableStyleElement dxfId="2" type="secondRowStripe"/>
    </tableStyle>
    <tableStyle count="2" pivot="0" name="8°C-style 78">
      <tableStyleElement dxfId="2" type="firstRowStripe"/>
      <tableStyleElement dxfId="2" type="secondRowStripe"/>
    </tableStyle>
    <tableStyle count="2" pivot="0" name="8°C-style 79">
      <tableStyleElement dxfId="2" type="firstRowStripe"/>
      <tableStyleElement dxfId="2" type="secondRowStripe"/>
    </tableStyle>
    <tableStyle count="2" pivot="0" name="8°C-style 80">
      <tableStyleElement dxfId="2" type="firstRowStripe"/>
      <tableStyleElement dxfId="1" type="secondRowStripe"/>
    </tableStyle>
    <tableStyle count="2" pivot="0" name="8°C-style 81">
      <tableStyleElement dxfId="2" type="firstRowStripe"/>
      <tableStyleElement dxfId="1" type="secondRowStripe"/>
    </tableStyle>
    <tableStyle count="2" pivot="0" name="8°C-style 82">
      <tableStyleElement dxfId="2" type="firstRowStripe"/>
      <tableStyleElement dxfId="1" type="secondRowStripe"/>
    </tableStyle>
    <tableStyle count="2" pivot="0" name="8°C-style 83">
      <tableStyleElement dxfId="2" type="firstRowStripe"/>
      <tableStyleElement dxfId="1" type="secondRowStripe"/>
    </tableStyle>
    <tableStyle count="2" pivot="0" name="8°C-style 84">
      <tableStyleElement dxfId="2" type="firstRowStripe"/>
      <tableStyleElement dxfId="1" type="secondRowStripe"/>
    </tableStyle>
    <tableStyle count="2" pivot="0" name="8°C-style 85">
      <tableStyleElement dxfId="2" type="firstRowStripe"/>
      <tableStyleElement dxfId="1" type="secondRowStripe"/>
    </tableStyle>
    <tableStyle count="2" pivot="0" name="8°C-style 86">
      <tableStyleElement dxfId="2" type="firstRowStripe"/>
      <tableStyleElement dxfId="1" type="secondRowStripe"/>
    </tableStyle>
    <tableStyle count="2" pivot="0" name="8°C-style 87">
      <tableStyleElement dxfId="2" type="firstRowStripe"/>
      <tableStyleElement dxfId="1" type="secondRowStripe"/>
    </tableStyle>
    <tableStyle count="2" pivot="0" name="8°C-style 88">
      <tableStyleElement dxfId="2" type="firstRowStripe"/>
      <tableStyleElement dxfId="2" type="secondRowStripe"/>
    </tableStyle>
    <tableStyle count="2" pivot="0" name="8°C-style 89">
      <tableStyleElement dxfId="2" type="firstRowStripe"/>
      <tableStyleElement dxfId="1" type="secondRowStripe"/>
    </tableStyle>
    <tableStyle count="2" pivot="0" name="8°C-style 90">
      <tableStyleElement dxfId="2" type="firstRowStripe"/>
      <tableStyleElement dxfId="1" type="secondRowStripe"/>
    </tableStyle>
    <tableStyle count="2" pivot="0" name="8°C-style 91">
      <tableStyleElement dxfId="2" type="firstRowStripe"/>
      <tableStyleElement dxfId="1" type="secondRowStripe"/>
    </tableStyle>
    <tableStyle count="2" pivot="0" name="8°C-style 92">
      <tableStyleElement dxfId="2" type="firstRowStripe"/>
      <tableStyleElement dxfId="1" type="secondRowStripe"/>
    </tableStyle>
    <tableStyle count="2" pivot="0" name="8°C-style 93">
      <tableStyleElement dxfId="2" type="firstRowStripe"/>
      <tableStyleElement dxfId="1" type="secondRowStripe"/>
    </tableStyle>
    <tableStyle count="2" pivot="0" name="8°C-style 94">
      <tableStyleElement dxfId="2" type="firstRowStripe"/>
      <tableStyleElement dxfId="1" type="secondRowStripe"/>
    </tableStyle>
    <tableStyle count="2" pivot="0" name="8°C-style 95">
      <tableStyleElement dxfId="2" type="firstRowStripe"/>
      <tableStyleElement dxfId="1" type="secondRowStripe"/>
    </tableStyle>
    <tableStyle count="2" pivot="0" name="8°C-style 96">
      <tableStyleElement dxfId="2" type="firstRowStripe"/>
      <tableStyleElement dxfId="2" type="secondRowStripe"/>
    </tableStyle>
    <tableStyle count="2" pivot="0" name="8°C-style 97">
      <tableStyleElement dxfId="2" type="firstRowStripe"/>
      <tableStyleElement dxfId="2" type="secondRowStripe"/>
    </tableStyle>
    <tableStyle count="2" pivot="0" name="8°C-style 98">
      <tableStyleElement dxfId="2" type="firstRowStripe"/>
      <tableStyleElement dxfId="2" type="secondRowStripe"/>
    </tableStyle>
    <tableStyle count="2" pivot="0" name="8°C-style 99">
      <tableStyleElement dxfId="2" type="firstRowStripe"/>
      <tableStyleElement dxfId="2" type="secondRowStripe"/>
    </tableStyle>
    <tableStyle count="2" pivot="0" name="8°C-style 100">
      <tableStyleElement dxfId="2" type="firstRowStripe"/>
      <tableStyleElement dxfId="2" type="secondRowStripe"/>
    </tableStyle>
    <tableStyle count="2" pivot="0" name="8°C-style 101">
      <tableStyleElement dxfId="2" type="firstRowStripe"/>
      <tableStyleElement dxfId="2" type="secondRowStripe"/>
    </tableStyle>
    <tableStyle count="2" pivot="0" name="8°C-style 102">
      <tableStyleElement dxfId="2" type="firstRowStripe"/>
      <tableStyleElement dxfId="2" type="secondRowStripe"/>
    </tableStyle>
    <tableStyle count="2" pivot="0" name="8°C-style 103">
      <tableStyleElement dxfId="1" type="firstRowStripe"/>
      <tableStyleElement dxfId="2" type="secondRowStripe"/>
    </tableStyle>
    <tableStyle count="2" pivot="0" name="8°C-style 104">
      <tableStyleElement dxfId="1" type="firstRowStripe"/>
      <tableStyleElement dxfId="2" type="secondRowStripe"/>
    </tableStyle>
    <tableStyle count="2" pivot="0" name="8°C-style 105">
      <tableStyleElement dxfId="1" type="firstRowStripe"/>
      <tableStyleElement dxfId="2" type="secondRowStripe"/>
    </tableStyle>
    <tableStyle count="2" pivot="0" name="8°C-style 106">
      <tableStyleElement dxfId="1" type="firstRowStripe"/>
      <tableStyleElement dxfId="2" type="secondRowStripe"/>
    </tableStyle>
    <tableStyle count="2" pivot="0" name="8°C-style 107">
      <tableStyleElement dxfId="1" type="firstRowStripe"/>
      <tableStyleElement dxfId="2" type="secondRowStripe"/>
    </tableStyle>
    <tableStyle count="2" pivot="0" name="8°C-style 108">
      <tableStyleElement dxfId="2" type="firstRowStripe"/>
      <tableStyleElement dxfId="1" type="secondRowStripe"/>
    </tableStyle>
    <tableStyle count="2" pivot="0" name="8°C-style 109">
      <tableStyleElement dxfId="2" type="firstRowStripe"/>
      <tableStyleElement dxfId="2" type="secondRowStripe"/>
    </tableStyle>
    <tableStyle count="2" pivot="0" name="8°C-style 110">
      <tableStyleElement dxfId="2" type="firstRowStripe"/>
      <tableStyleElement dxfId="2" type="secondRowStripe"/>
    </tableStyle>
    <tableStyle count="2" pivot="0" name="8°C-style 111">
      <tableStyleElement dxfId="2" type="firstRowStripe"/>
      <tableStyleElement dxfId="2" type="secondRowStripe"/>
    </tableStyle>
    <tableStyle count="2" pivot="0" name="8°C-style 112">
      <tableStyleElement dxfId="2" type="firstRowStripe"/>
      <tableStyleElement dxfId="2" type="secondRowStripe"/>
    </tableStyle>
    <tableStyle count="2" pivot="0" name="8°C-style 113">
      <tableStyleElement dxfId="2" type="firstRowStripe"/>
      <tableStyleElement dxfId="2" type="secondRowStripe"/>
    </tableStyle>
    <tableStyle count="2" pivot="0" name="8°C-style 114">
      <tableStyleElement dxfId="2" type="firstRowStripe"/>
      <tableStyleElement dxfId="2" type="secondRowStripe"/>
    </tableStyle>
    <tableStyle count="2" pivot="0" name="8°C-style 115">
      <tableStyleElement dxfId="2" type="firstRowStripe"/>
      <tableStyleElement dxfId="2" type="secondRowStripe"/>
    </tableStyle>
    <tableStyle count="2" pivot="0" name="8°C-style 116">
      <tableStyleElement dxfId="2" type="firstRowStripe"/>
      <tableStyleElement dxfId="2" type="secondRowStripe"/>
    </tableStyle>
    <tableStyle count="2" pivot="0" name="8°C-style 117">
      <tableStyleElement dxfId="2" type="firstRowStripe"/>
      <tableStyleElement dxfId="2" type="secondRowStripe"/>
    </tableStyle>
    <tableStyle count="2" pivot="0" name="8°C-style 118">
      <tableStyleElement dxfId="2" type="firstRowStripe"/>
      <tableStyleElement dxfId="2" type="secondRowStripe"/>
    </tableStyle>
    <tableStyle count="2" pivot="0" name="8°C-style 119">
      <tableStyleElement dxfId="2" type="firstRowStripe"/>
      <tableStyleElement dxfId="2" type="secondRowStripe"/>
    </tableStyle>
    <tableStyle count="2" pivot="0" name="8°C-style 120">
      <tableStyleElement dxfId="2" type="firstRowStripe"/>
      <tableStyleElement dxfId="2" type="secondRowStripe"/>
    </tableStyle>
    <tableStyle count="2" pivot="0" name="8°C-style 121">
      <tableStyleElement dxfId="2" type="firstRowStripe"/>
      <tableStyleElement dxfId="2" type="secondRowStripe"/>
    </tableStyle>
    <tableStyle count="2" pivot="0" name="8°C-style 122">
      <tableStyleElement dxfId="2" type="firstRowStripe"/>
      <tableStyleElement dxfId="2" type="secondRowStripe"/>
    </tableStyle>
    <tableStyle count="2" pivot="0" name="8°C-style 123">
      <tableStyleElement dxfId="2" type="firstRowStripe"/>
      <tableStyleElement dxfId="2" type="secondRowStripe"/>
    </tableStyle>
    <tableStyle count="2" pivot="0" name="8°C-style 124">
      <tableStyleElement dxfId="2" type="firstRowStripe"/>
      <tableStyleElement dxfId="1" type="secondRowStripe"/>
    </tableStyle>
    <tableStyle count="2" pivot="0" name="8°C-style 125">
      <tableStyleElement dxfId="2" type="firstRowStripe"/>
      <tableStyleElement dxfId="1" type="secondRowStripe"/>
    </tableStyle>
    <tableStyle count="2" pivot="0" name="8°C-style 126">
      <tableStyleElement dxfId="2" type="firstRowStripe"/>
      <tableStyleElement dxfId="1" type="secondRowStripe"/>
    </tableStyle>
    <tableStyle count="2" pivot="0" name="8°C-style 127">
      <tableStyleElement dxfId="2" type="firstRowStripe"/>
      <tableStyleElement dxfId="1" type="secondRowStripe"/>
    </tableStyle>
    <tableStyle count="2" pivot="0" name="8°C-style 128">
      <tableStyleElement dxfId="2" type="firstRowStripe"/>
      <tableStyleElement dxfId="1" type="secondRowStripe"/>
    </tableStyle>
    <tableStyle count="2" pivot="0" name="8°C-style 129">
      <tableStyleElement dxfId="2" type="firstRowStripe"/>
      <tableStyleElement dxfId="2" type="secondRowStripe"/>
    </tableStyle>
    <tableStyle count="2" pivot="0" name="8°C-style 130">
      <tableStyleElement dxfId="2" type="firstRowStripe"/>
      <tableStyleElement dxfId="2" type="secondRowStripe"/>
    </tableStyle>
    <tableStyle count="2" pivot="0" name="8°C-style 131">
      <tableStyleElement dxfId="2" type="firstRowStripe"/>
      <tableStyleElement dxfId="1" type="secondRowStripe"/>
    </tableStyle>
    <tableStyle count="2" pivot="0" name="8°C-style 132">
      <tableStyleElement dxfId="2" type="firstRowStripe"/>
      <tableStyleElement dxfId="1" type="secondRowStripe"/>
    </tableStyle>
    <tableStyle count="2" pivot="0" name="8°C-style 133">
      <tableStyleElement dxfId="2" type="firstRowStripe"/>
      <tableStyleElement dxfId="2" type="secondRowStripe"/>
    </tableStyle>
    <tableStyle count="2" pivot="0" name="8°C-style 134">
      <tableStyleElement dxfId="2" type="firstRowStripe"/>
      <tableStyleElement dxfId="1" type="secondRowStripe"/>
    </tableStyle>
    <tableStyle count="2" pivot="0" name="8°C-style 135">
      <tableStyleElement dxfId="2" type="firstRowStripe"/>
      <tableStyleElement dxfId="2" type="secondRowStripe"/>
    </tableStyle>
    <tableStyle count="2" pivot="0" name="8°C-style 136">
      <tableStyleElement dxfId="2" type="firstRowStripe"/>
      <tableStyleElement dxfId="1" type="secondRowStripe"/>
    </tableStyle>
    <tableStyle count="2" pivot="0" name="8°D-style">
      <tableStyleElement dxfId="1" type="firstRowStripe"/>
      <tableStyleElement dxfId="2" type="secondRowStripe"/>
    </tableStyle>
    <tableStyle count="2" pivot="0" name="8°D-style 2">
      <tableStyleElement dxfId="1" type="firstRowStripe"/>
      <tableStyleElement dxfId="2" type="secondRowStripe"/>
    </tableStyle>
    <tableStyle count="2" pivot="0" name="8°D-style 3">
      <tableStyleElement dxfId="1" type="firstRowStripe"/>
      <tableStyleElement dxfId="2" type="secondRowStripe"/>
    </tableStyle>
    <tableStyle count="2" pivot="0" name="8°D-style 4">
      <tableStyleElement dxfId="1" type="firstRowStripe"/>
      <tableStyleElement dxfId="2" type="secondRowStripe"/>
    </tableStyle>
    <tableStyle count="2" pivot="0" name="8°D-style 5">
      <tableStyleElement dxfId="2" type="firstRowStripe"/>
      <tableStyleElement dxfId="2" type="secondRowStripe"/>
    </tableStyle>
    <tableStyle count="2" pivot="0" name="8°D-style 6">
      <tableStyleElement dxfId="2" type="firstRowStripe"/>
      <tableStyleElement dxfId="2" type="secondRowStripe"/>
    </tableStyle>
    <tableStyle count="2" pivot="0" name="8°D-style 7">
      <tableStyleElement dxfId="2" type="firstRowStripe"/>
      <tableStyleElement dxfId="2" type="secondRowStripe"/>
    </tableStyle>
    <tableStyle count="2" pivot="0" name="8°D-style 8">
      <tableStyleElement dxfId="2" type="firstRowStripe"/>
      <tableStyleElement dxfId="2" type="secondRowStripe"/>
    </tableStyle>
    <tableStyle count="2" pivot="0" name="8°D-style 9">
      <tableStyleElement dxfId="2" type="firstRowStripe"/>
      <tableStyleElement dxfId="2" type="secondRowStripe"/>
    </tableStyle>
    <tableStyle count="2" pivot="0" name="8°D-style 10">
      <tableStyleElement dxfId="2" type="firstRowStripe"/>
      <tableStyleElement dxfId="2" type="secondRowStripe"/>
    </tableStyle>
    <tableStyle count="2" pivot="0" name="8°D-style 11">
      <tableStyleElement dxfId="2" type="firstRowStripe"/>
      <tableStyleElement dxfId="2" type="secondRowStripe"/>
    </tableStyle>
    <tableStyle count="2" pivot="0" name="8°D-style 12">
      <tableStyleElement dxfId="2" type="firstRowStripe"/>
      <tableStyleElement dxfId="2" type="secondRowStripe"/>
    </tableStyle>
    <tableStyle count="2" pivot="0" name="8°D-style 13">
      <tableStyleElement dxfId="2" type="firstRowStripe"/>
      <tableStyleElement dxfId="2" type="secondRowStripe"/>
    </tableStyle>
    <tableStyle count="2" pivot="0" name="8°D-style 14">
      <tableStyleElement dxfId="2" type="firstRowStripe"/>
      <tableStyleElement dxfId="2" type="secondRowStripe"/>
    </tableStyle>
    <tableStyle count="2" pivot="0" name="8°D-style 15">
      <tableStyleElement dxfId="2" type="firstRowStripe"/>
      <tableStyleElement dxfId="2" type="secondRowStripe"/>
    </tableStyle>
    <tableStyle count="2" pivot="0" name="8°D-style 16">
      <tableStyleElement dxfId="2" type="firstRowStripe"/>
      <tableStyleElement dxfId="2" type="secondRowStripe"/>
    </tableStyle>
    <tableStyle count="2" pivot="0" name="8°D-style 17">
      <tableStyleElement dxfId="2" type="firstRowStripe"/>
      <tableStyleElement dxfId="2" type="secondRowStripe"/>
    </tableStyle>
    <tableStyle count="2" pivot="0" name="8°D-style 18">
      <tableStyleElement dxfId="2" type="firstRowStripe"/>
      <tableStyleElement dxfId="2" type="secondRowStripe"/>
    </tableStyle>
    <tableStyle count="2" pivot="0" name="8°D-style 19">
      <tableStyleElement dxfId="2" type="firstRowStripe"/>
      <tableStyleElement dxfId="2" type="secondRowStripe"/>
    </tableStyle>
    <tableStyle count="2" pivot="0" name="8°D-style 20">
      <tableStyleElement dxfId="2" type="firstRowStripe"/>
      <tableStyleElement dxfId="2" type="secondRowStripe"/>
    </tableStyle>
    <tableStyle count="2" pivot="0" name="8°D-style 21">
      <tableStyleElement dxfId="2" type="firstRowStripe"/>
      <tableStyleElement dxfId="2" type="secondRowStripe"/>
    </tableStyle>
    <tableStyle count="2" pivot="0" name="8°D-style 22">
      <tableStyleElement dxfId="2" type="firstRowStripe"/>
      <tableStyleElement dxfId="1" type="secondRowStripe"/>
    </tableStyle>
    <tableStyle count="2" pivot="0" name="8°D-style 23">
      <tableStyleElement dxfId="2" type="firstRowStripe"/>
      <tableStyleElement dxfId="1" type="secondRowStripe"/>
    </tableStyle>
    <tableStyle count="2" pivot="0" name="8°D-style 24">
      <tableStyleElement dxfId="2" type="firstRowStripe"/>
      <tableStyleElement dxfId="1" type="secondRowStripe"/>
    </tableStyle>
    <tableStyle count="2" pivot="0" name="8°D-style 25">
      <tableStyleElement dxfId="2" type="firstRowStripe"/>
      <tableStyleElement dxfId="1" type="secondRowStripe"/>
    </tableStyle>
    <tableStyle count="2" pivot="0" name="8°D-style 26">
      <tableStyleElement dxfId="2" type="firstRowStripe"/>
      <tableStyleElement dxfId="1" type="secondRowStripe"/>
    </tableStyle>
    <tableStyle count="2" pivot="0" name="8°D-style 27">
      <tableStyleElement dxfId="2" type="firstRowStripe"/>
      <tableStyleElement dxfId="1" type="secondRowStripe"/>
    </tableStyle>
    <tableStyle count="2" pivot="0" name="8°D-style 28">
      <tableStyleElement dxfId="2" type="firstRowStripe"/>
      <tableStyleElement dxfId="2" type="secondRowStripe"/>
    </tableStyle>
    <tableStyle count="2" pivot="0" name="8°D-style 29">
      <tableStyleElement dxfId="2" type="firstRowStripe"/>
      <tableStyleElement dxfId="2" type="secondRowStripe"/>
    </tableStyle>
    <tableStyle count="2" pivot="0" name="8°D-style 30">
      <tableStyleElement dxfId="2" type="firstRowStripe"/>
      <tableStyleElement dxfId="1" type="secondRowStripe"/>
    </tableStyle>
    <tableStyle count="2" pivot="0" name="8°D-style 31">
      <tableStyleElement dxfId="2" type="firstRowStripe"/>
      <tableStyleElement dxfId="1" type="secondRowStripe"/>
    </tableStyle>
    <tableStyle count="2" pivot="0" name="8°D-style 32">
      <tableStyleElement dxfId="2" type="firstRowStripe"/>
      <tableStyleElement dxfId="2" type="secondRowStripe"/>
    </tableStyle>
    <tableStyle count="2" pivot="0" name="8°D-style 33">
      <tableStyleElement dxfId="2" type="firstRowStripe"/>
      <tableStyleElement dxfId="2" type="secondRowStripe"/>
    </tableStyle>
    <tableStyle count="2" pivot="0" name="8°D-style 34">
      <tableStyleElement dxfId="2" type="firstRowStripe"/>
      <tableStyleElement dxfId="1" type="secondRowStripe"/>
    </tableStyle>
    <tableStyle count="2" pivot="0" name="8°D-style 35">
      <tableStyleElement dxfId="2" type="firstRowStripe"/>
      <tableStyleElement dxfId="1" type="secondRowStripe"/>
    </tableStyle>
    <tableStyle count="2" pivot="0" name="8°D-style 36">
      <tableStyleElement dxfId="2" type="firstRowStripe"/>
      <tableStyleElement dxfId="1" type="secondRowStripe"/>
    </tableStyle>
    <tableStyle count="2" pivot="0" name="8°D-style 37">
      <tableStyleElement dxfId="2" type="firstRowStripe"/>
      <tableStyleElement dxfId="1" type="secondRowStripe"/>
    </tableStyle>
    <tableStyle count="2" pivot="0" name="8°D-style 38">
      <tableStyleElement dxfId="1" type="firstRowStripe"/>
      <tableStyleElement dxfId="2" type="secondRowStripe"/>
    </tableStyle>
    <tableStyle count="2" pivot="0" name="8°D-style 39">
      <tableStyleElement dxfId="1" type="firstRowStripe"/>
      <tableStyleElement dxfId="2" type="secondRowStripe"/>
    </tableStyle>
    <tableStyle count="2" pivot="0" name="8°D-style 40">
      <tableStyleElement dxfId="1" type="firstRowStripe"/>
      <tableStyleElement dxfId="2" type="secondRowStripe"/>
    </tableStyle>
    <tableStyle count="2" pivot="0" name="8°D-style 41">
      <tableStyleElement dxfId="1" type="firstRowStripe"/>
      <tableStyleElement dxfId="2" type="secondRowStripe"/>
    </tableStyle>
    <tableStyle count="2" pivot="0" name="8°D-style 42">
      <tableStyleElement dxfId="2" type="firstRowStripe"/>
      <tableStyleElement dxfId="2" type="secondRowStripe"/>
    </tableStyle>
    <tableStyle count="2" pivot="0" name="8°D-style 43">
      <tableStyleElement dxfId="2" type="firstRowStripe"/>
      <tableStyleElement dxfId="2" type="secondRowStripe"/>
    </tableStyle>
    <tableStyle count="2" pivot="0" name="8°D-style 44">
      <tableStyleElement dxfId="2" type="firstRowStripe"/>
      <tableStyleElement dxfId="2" type="secondRowStripe"/>
    </tableStyle>
    <tableStyle count="2" pivot="0" name="8°D-style 45">
      <tableStyleElement dxfId="2" type="firstRowStripe"/>
      <tableStyleElement dxfId="2" type="secondRowStripe"/>
    </tableStyle>
    <tableStyle count="2" pivot="0" name="8°D-style 46">
      <tableStyleElement dxfId="2" type="firstRowStripe"/>
      <tableStyleElement dxfId="2" type="secondRowStripe"/>
    </tableStyle>
    <tableStyle count="2" pivot="0" name="8°D-style 47">
      <tableStyleElement dxfId="2" type="firstRowStripe"/>
      <tableStyleElement dxfId="2" type="secondRowStripe"/>
    </tableStyle>
    <tableStyle count="2" pivot="0" name="8°D-style 48">
      <tableStyleElement dxfId="2" type="firstRowStripe"/>
      <tableStyleElement dxfId="2" type="secondRowStripe"/>
    </tableStyle>
    <tableStyle count="2" pivot="0" name="8°D-style 49">
      <tableStyleElement dxfId="2" type="firstRowStripe"/>
      <tableStyleElement dxfId="2" type="secondRowStripe"/>
    </tableStyle>
    <tableStyle count="2" pivot="0" name="8°D-style 50">
      <tableStyleElement dxfId="2" type="firstRowStripe"/>
      <tableStyleElement dxfId="2" type="secondRowStripe"/>
    </tableStyle>
    <tableStyle count="2" pivot="0" name="8°D-style 51">
      <tableStyleElement dxfId="2" type="firstRowStripe"/>
      <tableStyleElement dxfId="2" type="secondRowStripe"/>
    </tableStyle>
    <tableStyle count="2" pivot="0" name="8°D-style 52">
      <tableStyleElement dxfId="2" type="firstRowStripe"/>
      <tableStyleElement dxfId="2" type="secondRowStripe"/>
    </tableStyle>
    <tableStyle count="2" pivot="0" name="8°D-style 53">
      <tableStyleElement dxfId="2" type="firstRowStripe"/>
      <tableStyleElement dxfId="1" type="secondRowStripe"/>
    </tableStyle>
    <tableStyle count="2" pivot="0" name="8°D-style 54">
      <tableStyleElement dxfId="2" type="firstRowStripe"/>
      <tableStyleElement dxfId="1" type="secondRowStripe"/>
    </tableStyle>
    <tableStyle count="2" pivot="0" name="8°D-style 55">
      <tableStyleElement dxfId="2" type="firstRowStripe"/>
      <tableStyleElement dxfId="1" type="secondRowStripe"/>
    </tableStyle>
    <tableStyle count="2" pivot="0" name="8°D-style 56">
      <tableStyleElement dxfId="2" type="firstRowStripe"/>
      <tableStyleElement dxfId="1" type="secondRowStripe"/>
    </tableStyle>
    <tableStyle count="2" pivot="0" name="8°D-style 57">
      <tableStyleElement dxfId="2" type="firstRowStripe"/>
      <tableStyleElement dxfId="1" type="secondRowStripe"/>
    </tableStyle>
    <tableStyle count="2" pivot="0" name="8°D-style 58">
      <tableStyleElement dxfId="2" type="firstRowStripe"/>
      <tableStyleElement dxfId="1" type="secondRowStripe"/>
    </tableStyle>
    <tableStyle count="2" pivot="0" name="8°D-style 59">
      <tableStyleElement dxfId="2" type="firstRowStripe"/>
      <tableStyleElement dxfId="1" type="secondRowStripe"/>
    </tableStyle>
    <tableStyle count="2" pivot="0" name="8°D-style 60">
      <tableStyleElement dxfId="2" type="firstRowStripe"/>
      <tableStyleElement dxfId="1" type="secondRowStripe"/>
    </tableStyle>
    <tableStyle count="2" pivot="0" name="8°D-style 61">
      <tableStyleElement dxfId="2" type="firstRowStripe"/>
      <tableStyleElement dxfId="2" type="secondRowStripe"/>
    </tableStyle>
    <tableStyle count="2" pivot="0" name="8°E-style">
      <tableStyleElement dxfId="1" type="firstRowStripe"/>
      <tableStyleElement dxfId="2" type="secondRowStripe"/>
    </tableStyle>
    <tableStyle count="2" pivot="0" name="8°D-style 62">
      <tableStyleElement dxfId="2" type="firstRowStripe"/>
      <tableStyleElement dxfId="2" type="secondRowStripe"/>
    </tableStyle>
    <tableStyle count="2" pivot="0" name="8°E-style 2">
      <tableStyleElement dxfId="2" type="firstRowStripe"/>
      <tableStyleElement dxfId="2" type="secondRowStripe"/>
    </tableStyle>
    <tableStyle count="2" pivot="0" name="8°D-style 63">
      <tableStyleElement dxfId="2" type="firstRowStripe"/>
      <tableStyleElement dxfId="2" type="secondRowStripe"/>
    </tableStyle>
    <tableStyle count="2" pivot="0" name="8°E-style 3">
      <tableStyleElement dxfId="2" type="firstRowStripe"/>
      <tableStyleElement dxfId="2" type="secondRowStripe"/>
    </tableStyle>
    <tableStyle count="2" pivot="0" name="8°D-style 64">
      <tableStyleElement dxfId="2" type="firstRowStripe"/>
      <tableStyleElement dxfId="2" type="secondRowStripe"/>
    </tableStyle>
    <tableStyle count="2" pivot="0" name="8°E-style 4">
      <tableStyleElement dxfId="2" type="firstRowStripe"/>
      <tableStyleElement dxfId="2" type="secondRowStripe"/>
    </tableStyle>
    <tableStyle count="2" pivot="0" name="8°D-style 65">
      <tableStyleElement dxfId="2" type="firstRowStripe"/>
      <tableStyleElement dxfId="2" type="secondRowStripe"/>
    </tableStyle>
    <tableStyle count="2" pivot="0" name="8°E-style 5">
      <tableStyleElement dxfId="2" type="firstRowStripe"/>
      <tableStyleElement dxfId="2" type="secondRowStripe"/>
    </tableStyle>
    <tableStyle count="2" pivot="0" name="8°D-style 66">
      <tableStyleElement dxfId="2" type="firstRowStripe"/>
      <tableStyleElement dxfId="2" type="secondRowStripe"/>
    </tableStyle>
    <tableStyle count="2" pivot="0" name="8°E-style 6">
      <tableStyleElement dxfId="2" type="firstRowStripe"/>
      <tableStyleElement dxfId="1" type="secondRowStripe"/>
    </tableStyle>
    <tableStyle count="2" pivot="0" name="8°E-style 7">
      <tableStyleElement dxfId="2" type="firstRowStripe"/>
      <tableStyleElement dxfId="1" type="secondRowStripe"/>
    </tableStyle>
    <tableStyle count="2" pivot="0" name="8°D-style 67">
      <tableStyleElement dxfId="2" type="firstRowStripe"/>
      <tableStyleElement dxfId="2" type="secondRowStripe"/>
    </tableStyle>
    <tableStyle count="2" pivot="0" name="8°E-style 8">
      <tableStyleElement dxfId="2" type="firstRowStripe"/>
      <tableStyleElement dxfId="1" type="secondRowStripe"/>
    </tableStyle>
    <tableStyle count="2" pivot="0" name="8°D-style 68">
      <tableStyleElement dxfId="2" type="firstRowStripe"/>
      <tableStyleElement dxfId="2" type="secondRowStripe"/>
    </tableStyle>
    <tableStyle count="2" pivot="0" name="8°E-style 9">
      <tableStyleElement dxfId="1" type="firstRowStripe"/>
      <tableStyleElement dxfId="2" type="secondRowStripe"/>
    </tableStyle>
    <tableStyle count="2" pivot="0" name="8°D-style 69">
      <tableStyleElement dxfId="2" type="firstRowStripe"/>
      <tableStyleElement dxfId="1" type="secondRowStripe"/>
    </tableStyle>
    <tableStyle count="2" pivot="0" name="8°D-style 70">
      <tableStyleElement dxfId="2" type="firstRowStripe"/>
      <tableStyleElement dxfId="1" type="secondRowStripe"/>
    </tableStyle>
    <tableStyle count="2" pivot="0" name="8°E-style 10">
      <tableStyleElement dxfId="2" type="firstRowStripe"/>
      <tableStyleElement dxfId="2" type="secondRowStripe"/>
    </tableStyle>
    <tableStyle count="2" pivot="0" name="8°D-style 71">
      <tableStyleElement dxfId="2" type="firstRowStripe"/>
      <tableStyleElement dxfId="1" type="secondRowStripe"/>
    </tableStyle>
    <tableStyle count="2" pivot="0" name="8°E-style 11">
      <tableStyleElement dxfId="2" type="firstRowStripe"/>
      <tableStyleElement dxfId="2" type="secondRowStripe"/>
    </tableStyle>
    <tableStyle count="2" pivot="0" name="8°D-style 72">
      <tableStyleElement dxfId="2" type="firstRowStripe"/>
      <tableStyleElement dxfId="1" type="secondRowStripe"/>
    </tableStyle>
    <tableStyle count="2" pivot="0" name="8°E-style 12">
      <tableStyleElement dxfId="2" type="firstRowStripe"/>
      <tableStyleElement dxfId="2" type="secondRowStripe"/>
    </tableStyle>
    <tableStyle count="2" pivot="0" name="8°D-style 73">
      <tableStyleElement dxfId="2" type="firstRowStripe"/>
      <tableStyleElement dxfId="1" type="secondRowStripe"/>
    </tableStyle>
    <tableStyle count="2" pivot="0" name="8°E-style 13">
      <tableStyleElement dxfId="2" type="firstRowStripe"/>
      <tableStyleElement dxfId="2" type="secondRowStripe"/>
    </tableStyle>
    <tableStyle count="2" pivot="0" name="8°D-style 74">
      <tableStyleElement dxfId="2" type="firstRowStripe"/>
      <tableStyleElement dxfId="2" type="secondRowStripe"/>
    </tableStyle>
    <tableStyle count="2" pivot="0" name="8°E-style 14">
      <tableStyleElement dxfId="2" type="firstRowStripe"/>
      <tableStyleElement dxfId="1" type="secondRowStripe"/>
    </tableStyle>
    <tableStyle count="2" pivot="0" name="8°D-style 75">
      <tableStyleElement dxfId="2" type="firstRowStripe"/>
      <tableStyleElement dxfId="2" type="secondRowStripe"/>
    </tableStyle>
    <tableStyle count="2" pivot="0" name="8°D-style 76">
      <tableStyleElement dxfId="2" type="firstRowStripe"/>
      <tableStyleElement dxfId="2" type="secondRowStripe"/>
    </tableStyle>
    <tableStyle count="2" pivot="0" name="8°E-style 15">
      <tableStyleElement dxfId="2" type="firstRowStripe"/>
      <tableStyleElement dxfId="1" type="secondRowStripe"/>
    </tableStyle>
    <tableStyle count="2" pivot="0" name="8°D-style 77">
      <tableStyleElement dxfId="2" type="firstRowStripe"/>
      <tableStyleElement dxfId="2" type="secondRowStripe"/>
    </tableStyle>
    <tableStyle count="2" pivot="0" name="8°E-style 16">
      <tableStyleElement dxfId="2" type="firstRowStripe"/>
      <tableStyleElement dxfId="1" type="secondRowStripe"/>
    </tableStyle>
    <tableStyle count="2" pivot="0" name="8°D-style 78">
      <tableStyleElement dxfId="2" type="firstRowStripe"/>
      <tableStyleElement dxfId="2" type="secondRowStripe"/>
    </tableStyle>
    <tableStyle count="2" pivot="0" name="8°E-style 17">
      <tableStyleElement dxfId="2" type="firstRowStripe"/>
      <tableStyleElement dxfId="2" type="secondRowStripe"/>
    </tableStyle>
    <tableStyle count="2" pivot="0" name="8°D-style 79">
      <tableStyleElement dxfId="2" type="firstRowStripe"/>
      <tableStyleElement dxfId="2" type="secondRowStripe"/>
    </tableStyle>
    <tableStyle count="2" pivot="0" name="8°D-style 80">
      <tableStyleElement dxfId="2" type="firstRowStripe"/>
      <tableStyleElement dxfId="2" type="secondRowStripe"/>
    </tableStyle>
    <tableStyle count="2" pivot="0" name="8°E-style 18">
      <tableStyleElement dxfId="2" type="firstRowStripe"/>
      <tableStyleElement dxfId="1" type="secondRowStripe"/>
    </tableStyle>
    <tableStyle count="2" pivot="0" name="8°D-style 81">
      <tableStyleElement dxfId="2" type="firstRowStripe"/>
      <tableStyleElement dxfId="2" type="secondRowStripe"/>
    </tableStyle>
    <tableStyle count="2" pivot="0" name="8°E-style 19">
      <tableStyleElement dxfId="2" type="firstRowStripe"/>
      <tableStyleElement dxfId="1" type="secondRowStripe"/>
    </tableStyle>
    <tableStyle count="2" pivot="0" name="8°E-style 20">
      <tableStyleElement dxfId="2" type="firstRowStripe"/>
      <tableStyleElement dxfId="1" type="secondRowStripe"/>
    </tableStyle>
    <tableStyle count="2" pivot="0" name="8°E-style 21">
      <tableStyleElement dxfId="2" type="firstRowStripe"/>
      <tableStyleElement dxfId="2" type="secondRowStripe"/>
    </tableStyle>
    <tableStyle count="2" pivot="0" name="8°E-style 22">
      <tableStyleElement dxfId="2" type="firstRowStripe"/>
      <tableStyleElement dxfId="2" type="secondRowStripe"/>
    </tableStyle>
    <tableStyle count="2" pivot="0" name="8°E-style 23">
      <tableStyleElement dxfId="2" type="firstRowStripe"/>
      <tableStyleElement dxfId="2" type="secondRowStripe"/>
    </tableStyle>
    <tableStyle count="2" pivot="0" name="8°E-style 24">
      <tableStyleElement dxfId="2" type="firstRowStripe"/>
      <tableStyleElement dxfId="2" type="secondRowStripe"/>
    </tableStyle>
    <tableStyle count="2" pivot="0" name="8°E-style 25">
      <tableStyleElement dxfId="2" type="firstRowStripe"/>
      <tableStyleElement dxfId="2" type="secondRowStripe"/>
    </tableStyle>
    <tableStyle count="2" pivot="0" name="8°E-style 26">
      <tableStyleElement dxfId="2" type="firstRowStripe"/>
      <tableStyleElement dxfId="2" type="secondRowStripe"/>
    </tableStyle>
    <tableStyle count="2" pivot="0" name="8°E-style 27">
      <tableStyleElement dxfId="2" type="firstRowStripe"/>
      <tableStyleElement dxfId="2" type="secondRowStripe"/>
    </tableStyle>
    <tableStyle count="2" pivot="0" name="8°E-style 28">
      <tableStyleElement dxfId="2" type="firstRowStripe"/>
      <tableStyleElement dxfId="2" type="secondRowStripe"/>
    </tableStyle>
    <tableStyle count="2" pivot="0" name="8°E-style 29">
      <tableStyleElement dxfId="2" type="firstRowStripe"/>
      <tableStyleElement dxfId="2" type="secondRowStripe"/>
    </tableStyle>
    <tableStyle count="2" pivot="0" name="8°E-style 30">
      <tableStyleElement dxfId="2" type="firstRowStripe"/>
      <tableStyleElement dxfId="2" type="secondRowStripe"/>
    </tableStyle>
    <tableStyle count="2" pivot="0" name="8°E-style 31">
      <tableStyleElement dxfId="2" type="firstRowStripe"/>
      <tableStyleElement dxfId="2" type="secondRowStripe"/>
    </tableStyle>
    <tableStyle count="2" pivot="0" name="8°E-style 32">
      <tableStyleElement dxfId="2" type="firstRowStripe"/>
      <tableStyleElement dxfId="2" type="secondRowStripe"/>
    </tableStyle>
    <tableStyle count="2" pivot="0" name="8°E-style 33">
      <tableStyleElement dxfId="2" type="firstRowStripe"/>
      <tableStyleElement dxfId="2" type="secondRowStripe"/>
    </tableStyle>
    <tableStyle count="2" pivot="0" name="8°E-style 34">
      <tableStyleElement dxfId="2" type="firstRowStripe"/>
      <tableStyleElement dxfId="2" type="secondRowStripe"/>
    </tableStyle>
    <tableStyle count="2" pivot="0" name="8°E-style 35">
      <tableStyleElement dxfId="2" type="firstRowStripe"/>
      <tableStyleElement dxfId="2" type="secondRowStripe"/>
    </tableStyle>
    <tableStyle count="2" pivot="0" name="8°E-style 36">
      <tableStyleElement dxfId="2" type="firstRowStripe"/>
      <tableStyleElement dxfId="2" type="secondRowStripe"/>
    </tableStyle>
    <tableStyle count="2" pivot="0" name="9°A-style">
      <tableStyleElement dxfId="1" type="firstRowStripe"/>
      <tableStyleElement dxfId="2" type="secondRowStripe"/>
    </tableStyle>
    <tableStyle count="2" pivot="0" name="9°A-style 2">
      <tableStyleElement dxfId="2" type="firstRowStripe"/>
      <tableStyleElement dxfId="2" type="secondRowStripe"/>
    </tableStyle>
    <tableStyle count="2" pivot="0" name="9°A-style 3">
      <tableStyleElement dxfId="2" type="firstRowStripe"/>
      <tableStyleElement dxfId="2" type="secondRowStripe"/>
    </tableStyle>
    <tableStyle count="2" pivot="0" name="9°A-style 4">
      <tableStyleElement dxfId="2" type="firstRowStripe"/>
      <tableStyleElement dxfId="2" type="secondRowStripe"/>
    </tableStyle>
    <tableStyle count="2" pivot="0" name="9°A-style 5">
      <tableStyleElement dxfId="2" type="firstRowStripe"/>
      <tableStyleElement dxfId="2" type="secondRowStripe"/>
    </tableStyle>
    <tableStyle count="2" pivot="0" name="9°A-style 6">
      <tableStyleElement dxfId="2" type="firstRowStripe"/>
      <tableStyleElement dxfId="1" type="secondRowStripe"/>
    </tableStyle>
    <tableStyle count="2" pivot="0" name="9°A-style 7">
      <tableStyleElement dxfId="2" type="firstRowStripe"/>
      <tableStyleElement dxfId="1" type="secondRowStripe"/>
    </tableStyle>
    <tableStyle count="2" pivot="0" name="9°A-style 8">
      <tableStyleElement dxfId="2" type="firstRowStripe"/>
      <tableStyleElement dxfId="1" type="secondRowStripe"/>
    </tableStyle>
    <tableStyle count="2" pivot="0" name="9°A-style 9">
      <tableStyleElement dxfId="1" type="firstRowStripe"/>
      <tableStyleElement dxfId="2" type="secondRowStripe"/>
    </tableStyle>
    <tableStyle count="2" pivot="0" name="9°A-style 10">
      <tableStyleElement dxfId="1" type="firstRowStripe"/>
      <tableStyleElement dxfId="2" type="secondRowStripe"/>
    </tableStyle>
    <tableStyle count="2" pivot="0" name="9°A-style 11">
      <tableStyleElement dxfId="2" type="firstRowStripe"/>
      <tableStyleElement dxfId="1" type="secondRowStripe"/>
    </tableStyle>
    <tableStyle count="2" pivot="0" name="9°A-style 12">
      <tableStyleElement dxfId="2" type="firstRowStripe"/>
      <tableStyleElement dxfId="1" type="secondRowStripe"/>
    </tableStyle>
    <tableStyle count="2" pivot="0" name="9°A-style 13">
      <tableStyleElement dxfId="2" type="firstRowStripe"/>
      <tableStyleElement dxfId="2" type="secondRowStripe"/>
    </tableStyle>
    <tableStyle count="2" pivot="0" name="9°A-style 14">
      <tableStyleElement dxfId="2" type="firstRowStripe"/>
      <tableStyleElement dxfId="2" type="secondRowStripe"/>
    </tableStyle>
    <tableStyle count="2" pivot="0" name="9°A-style 15">
      <tableStyleElement dxfId="2" type="firstRowStripe"/>
      <tableStyleElement dxfId="2" type="secondRowStripe"/>
    </tableStyle>
    <tableStyle count="2" pivot="0" name="9°A-style 16">
      <tableStyleElement dxfId="2" type="firstRowStripe"/>
      <tableStyleElement dxfId="1" type="secondRowStripe"/>
    </tableStyle>
    <tableStyle count="2" pivot="0" name="9°A-style 17">
      <tableStyleElement dxfId="2" type="firstRowStripe"/>
      <tableStyleElement dxfId="1" type="secondRowStripe"/>
    </tableStyle>
    <tableStyle count="2" pivot="0" name="9°A-style 18">
      <tableStyleElement dxfId="2" type="firstRowStripe"/>
      <tableStyleElement dxfId="2" type="secondRowStripe"/>
    </tableStyle>
    <tableStyle count="2" pivot="0" name="9°A-style 19">
      <tableStyleElement dxfId="2" type="firstRowStripe"/>
      <tableStyleElement dxfId="1" type="secondRowStripe"/>
    </tableStyle>
    <tableStyle count="2" pivot="0" name="9°A-style 20">
      <tableStyleElement dxfId="2" type="firstRowStripe"/>
      <tableStyleElement dxfId="1" type="secondRowStripe"/>
    </tableStyle>
    <tableStyle count="2" pivot="0" name="9°A-style 21">
      <tableStyleElement dxfId="2" type="firstRowStripe"/>
      <tableStyleElement dxfId="1" type="secondRowStripe"/>
    </tableStyle>
    <tableStyle count="2" pivot="0" name="9°A-style 22">
      <tableStyleElement dxfId="2" type="firstRowStripe"/>
      <tableStyleElement dxfId="1" type="secondRowStripe"/>
    </tableStyle>
    <tableStyle count="2" pivot="0" name="9°A-style 23">
      <tableStyleElement dxfId="2" type="firstRowStripe"/>
      <tableStyleElement dxfId="2" type="secondRowStripe"/>
    </tableStyle>
    <tableStyle count="2" pivot="0" name="9°A-style 24">
      <tableStyleElement dxfId="1" type="firstRowStripe"/>
      <tableStyleElement dxfId="2" type="secondRowStripe"/>
    </tableStyle>
    <tableStyle count="2" pivot="0" name="9°B-style">
      <tableStyleElement dxfId="1" type="firstRowStripe"/>
      <tableStyleElement dxfId="2" type="secondRowStripe"/>
    </tableStyle>
    <tableStyle count="2" pivot="0" name="9°B-style 2">
      <tableStyleElement dxfId="2" type="firstRowStripe"/>
      <tableStyleElement dxfId="2" type="secondRowStripe"/>
    </tableStyle>
    <tableStyle count="2" pivot="0" name="9°B-style 3">
      <tableStyleElement dxfId="2" type="firstRowStripe"/>
      <tableStyleElement dxfId="2" type="secondRowStripe"/>
    </tableStyle>
    <tableStyle count="2" pivot="0" name="9°B-style 4">
      <tableStyleElement dxfId="2" type="firstRowStripe"/>
      <tableStyleElement dxfId="2" type="secondRowStripe"/>
    </tableStyle>
    <tableStyle count="2" pivot="0" name="9°B-style 5">
      <tableStyleElement dxfId="2" type="firstRowStripe"/>
      <tableStyleElement dxfId="2" type="secondRowStripe"/>
    </tableStyle>
    <tableStyle count="2" pivot="0" name="9°B-style 6">
      <tableStyleElement dxfId="2" type="firstRowStripe"/>
      <tableStyleElement dxfId="2" type="secondRowStripe"/>
    </tableStyle>
    <tableStyle count="2" pivot="0" name="9°B-style 7">
      <tableStyleElement dxfId="2" type="firstRowStripe"/>
      <tableStyleElement dxfId="1" type="secondRowStripe"/>
    </tableStyle>
    <tableStyle count="2" pivot="0" name="9°B-style 8">
      <tableStyleElement dxfId="2" type="firstRowStripe"/>
      <tableStyleElement dxfId="1" type="secondRowStripe"/>
    </tableStyle>
    <tableStyle count="2" pivot="0" name="9°B-style 9">
      <tableStyleElement dxfId="2" type="firstRowStripe"/>
      <tableStyleElement dxfId="1" type="secondRowStripe"/>
    </tableStyle>
    <tableStyle count="2" pivot="0" name="9°B-style 10">
      <tableStyleElement dxfId="2" type="firstRowStripe"/>
      <tableStyleElement dxfId="1" type="secondRowStripe"/>
    </tableStyle>
    <tableStyle count="2" pivot="0" name="9°B-style 11">
      <tableStyleElement dxfId="1" type="firstRowStripe"/>
      <tableStyleElement dxfId="2" type="secondRowStripe"/>
    </tableStyle>
    <tableStyle count="2" pivot="0" name="9°B-style 12">
      <tableStyleElement dxfId="1" type="firstRowStripe"/>
      <tableStyleElement dxfId="2" type="secondRowStripe"/>
    </tableStyle>
    <tableStyle count="2" pivot="0" name="9°B-style 13">
      <tableStyleElement dxfId="2" type="firstRowStripe"/>
      <tableStyleElement dxfId="2" type="secondRowStripe"/>
    </tableStyle>
    <tableStyle count="2" pivot="0" name="9°B-style 14">
      <tableStyleElement dxfId="2" type="firstRowStripe"/>
      <tableStyleElement dxfId="2" type="secondRowStripe"/>
    </tableStyle>
    <tableStyle count="2" pivot="0" name="9°B-style 15">
      <tableStyleElement dxfId="2" type="firstRowStripe"/>
      <tableStyleElement dxfId="1" type="secondRowStripe"/>
    </tableStyle>
    <tableStyle count="2" pivot="0" name="9°B-style 16">
      <tableStyleElement dxfId="2" type="firstRowStripe"/>
      <tableStyleElement dxfId="1" type="secondRowStripe"/>
    </tableStyle>
    <tableStyle count="2" pivot="0" name="9°B-style 17">
      <tableStyleElement dxfId="2" type="firstRowStripe"/>
      <tableStyleElement dxfId="2" type="secondRowStripe"/>
    </tableStyle>
    <tableStyle count="2" pivot="0" name="9°B-style 18">
      <tableStyleElement dxfId="2" type="firstRowStripe"/>
      <tableStyleElement dxfId="1" type="secondRowStripe"/>
    </tableStyle>
    <tableStyle count="2" pivot="0" name="9°B-style 19">
      <tableStyleElement dxfId="2" type="firstRowStripe"/>
      <tableStyleElement dxfId="1" type="secondRowStripe"/>
    </tableStyle>
    <tableStyle count="2" pivot="0" name="9°B-style 20">
      <tableStyleElement dxfId="2" type="firstRowStripe"/>
      <tableStyleElement dxfId="1" type="secondRowStripe"/>
    </tableStyle>
    <tableStyle count="2" pivot="0" name="9°B-style 21">
      <tableStyleElement dxfId="2" type="firstRowStripe"/>
      <tableStyleElement dxfId="2" type="secondRowStripe"/>
    </tableStyle>
    <tableStyle count="2" pivot="0" name="9°B-style 22">
      <tableStyleElement dxfId="2" type="firstRowStripe"/>
      <tableStyleElement dxfId="2" type="secondRowStripe"/>
    </tableStyle>
    <tableStyle count="2" pivot="0" name="9°B-style 23">
      <tableStyleElement dxfId="2" type="firstRowStripe"/>
      <tableStyleElement dxfId="2" type="secondRowStripe"/>
    </tableStyle>
    <tableStyle count="2" pivot="0" name="9°C-style">
      <tableStyleElement dxfId="1" type="firstRowStripe"/>
      <tableStyleElement dxfId="2" type="secondRowStripe"/>
    </tableStyle>
    <tableStyle count="2" pivot="0" name="9°C-style 2">
      <tableStyleElement dxfId="2" type="firstRowStripe"/>
      <tableStyleElement dxfId="2" type="secondRowStripe"/>
    </tableStyle>
    <tableStyle count="2" pivot="0" name="9°C-style 3">
      <tableStyleElement dxfId="2" type="firstRowStripe"/>
      <tableStyleElement dxfId="2" type="secondRowStripe"/>
    </tableStyle>
    <tableStyle count="2" pivot="0" name="9°C-style 4">
      <tableStyleElement dxfId="2" type="firstRowStripe"/>
      <tableStyleElement dxfId="2" type="secondRowStripe"/>
    </tableStyle>
    <tableStyle count="2" pivot="0" name="9°C-style 5">
      <tableStyleElement dxfId="2" type="firstRowStripe"/>
      <tableStyleElement dxfId="2" type="secondRowStripe"/>
    </tableStyle>
    <tableStyle count="2" pivot="0" name="9°C-style 6">
      <tableStyleElement dxfId="2" type="firstRowStripe"/>
      <tableStyleElement dxfId="2" type="secondRowStripe"/>
    </tableStyle>
    <tableStyle count="2" pivot="0" name="9°C-style 7">
      <tableStyleElement dxfId="2" type="firstRowStripe"/>
      <tableStyleElement dxfId="1" type="secondRowStripe"/>
    </tableStyle>
    <tableStyle count="2" pivot="0" name="9°C-style 8">
      <tableStyleElement dxfId="1" type="firstRowStripe"/>
      <tableStyleElement dxfId="2" type="secondRowStripe"/>
    </tableStyle>
    <tableStyle count="2" pivot="0" name="9°C-style 9">
      <tableStyleElement dxfId="2" type="firstRowStripe"/>
      <tableStyleElement dxfId="1" type="secondRowStripe"/>
    </tableStyle>
    <tableStyle count="2" pivot="0" name="9°C-style 10">
      <tableStyleElement dxfId="2" type="firstRowStripe"/>
      <tableStyleElement dxfId="1" type="secondRowStripe"/>
    </tableStyle>
    <tableStyle count="2" pivot="0" name="9°C-style 11">
      <tableStyleElement dxfId="1" type="firstRowStripe"/>
      <tableStyleElement dxfId="2" type="secondRowStripe"/>
    </tableStyle>
    <tableStyle count="2" pivot="0" name="9°C-style 12">
      <tableStyleElement dxfId="2" type="firstRowStripe"/>
      <tableStyleElement dxfId="2" type="secondRowStripe"/>
    </tableStyle>
    <tableStyle count="2" pivot="0" name="9°C-style 13">
      <tableStyleElement dxfId="2" type="firstRowStripe"/>
      <tableStyleElement dxfId="2" type="secondRowStripe"/>
    </tableStyle>
    <tableStyle count="2" pivot="0" name="9°C-style 14">
      <tableStyleElement dxfId="2" type="firstRowStripe"/>
      <tableStyleElement dxfId="1" type="secondRowStripe"/>
    </tableStyle>
    <tableStyle count="2" pivot="0" name="9°C-style 15">
      <tableStyleElement dxfId="2" type="firstRowStripe"/>
      <tableStyleElement dxfId="1" type="secondRowStripe"/>
    </tableStyle>
    <tableStyle count="2" pivot="0" name="9°C-style 16">
      <tableStyleElement dxfId="2" type="firstRowStripe"/>
      <tableStyleElement dxfId="2" type="secondRowStripe"/>
    </tableStyle>
    <tableStyle count="2" pivot="0" name="9°C-style 17">
      <tableStyleElement dxfId="2" type="firstRowStripe"/>
      <tableStyleElement dxfId="1" type="secondRowStripe"/>
    </tableStyle>
    <tableStyle count="2" pivot="0" name="9°C-style 18">
      <tableStyleElement dxfId="2" type="firstRowStripe"/>
      <tableStyleElement dxfId="1" type="secondRowStripe"/>
    </tableStyle>
    <tableStyle count="2" pivot="0" name="9°C-style 19">
      <tableStyleElement dxfId="2" type="firstRowStripe"/>
      <tableStyleElement dxfId="1" type="secondRowStripe"/>
    </tableStyle>
    <tableStyle count="2" pivot="0" name="9°C-style 20">
      <tableStyleElement dxfId="2" type="firstRowStripe"/>
      <tableStyleElement dxfId="1" type="secondRowStripe"/>
    </tableStyle>
    <tableStyle count="2" pivot="0" name="9°C-style 21">
      <tableStyleElement dxfId="2" type="firstRowStripe"/>
      <tableStyleElement dxfId="2" type="secondRowStripe"/>
    </tableStyle>
    <tableStyle count="2" pivot="0" name="9°C-style 22">
      <tableStyleElement dxfId="2" type="firstRowStripe"/>
      <tableStyleElement dxfId="1" type="secondRowStripe"/>
    </tableStyle>
    <tableStyle count="2" pivot="0" name="9°C-style 23"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5:F6" displayName="Table_3" name="Table_3" id="3">
  <tableColumns count="3">
    <tableColumn name="Column1" id="1"/>
    <tableColumn name="Column2" id="2"/>
    <tableColumn name="Column3" id="3"/>
  </tableColumns>
  <tableStyleInfo name="7°A-style" showColumnStripes="0" showFirstColumn="1" showLastColumn="1" showRowStripes="1"/>
</table>
</file>

<file path=xl/tables/table2.xml><?xml version="1.0" encoding="utf-8"?>
<table xmlns="http://schemas.openxmlformats.org/spreadsheetml/2006/main" headerRowCount="0" ref="BG5:BJ10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7°A-style 2" showColumnStripes="0" showFirstColumn="1" showLastColumn="1" showRowStripes="1"/>
</table>
</file>

<file path=xl/tables/table3.xml><?xml version="1.0" encoding="utf-8"?>
<table xmlns="http://schemas.openxmlformats.org/spreadsheetml/2006/main" headerRowCount="0" ref="B8:J8" displayName="Table_9" name="Table_9" id="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7°A-style 3" showColumnStripes="0" showFirstColumn="1" showLastColumn="1" showRowStripes="1"/>
</table>
</file>

<file path=xl/tables/table4.xml><?xml version="1.0" encoding="utf-8"?>
<table xmlns="http://schemas.openxmlformats.org/spreadsheetml/2006/main" headerRowCount="0" ref="B11" displayName="Table_13" name="Table_13" id="13">
  <tableColumns count="1">
    <tableColumn name="Column1" id="1"/>
  </tableColumns>
  <tableStyleInfo name="7°A-style 4" showColumnStripes="0" showFirstColumn="1" showLastColumn="1" showRowStripes="1"/>
</table>
</file>

<file path=xl/tables/table5.xml><?xml version="1.0" encoding="utf-8"?>
<table xmlns="http://schemas.openxmlformats.org/spreadsheetml/2006/main" headerRowCount="0" ref="D11:F14" displayName="Table_15" name="Table_15" id="16">
  <tableColumns count="3">
    <tableColumn name="Column1" id="1"/>
    <tableColumn name="Column2" id="2"/>
    <tableColumn name="Column3" id="3"/>
  </tableColumns>
  <tableStyleInfo name="7°A-style 5" showColumnStripes="0" showFirstColumn="1" showLastColumn="1" showRowStripes="1"/>
</table>
</file>

<file path=xl/tables/table6.xml><?xml version="1.0" encoding="utf-8"?>
<table xmlns="http://schemas.openxmlformats.org/spreadsheetml/2006/main" headerRowCount="0" ref="BG11:BJ12" displayName="Table_18" name="Table_18" id="18">
  <tableColumns count="4">
    <tableColumn name="Column1" id="1"/>
    <tableColumn name="Column2" id="2"/>
    <tableColumn name="Column3" id="3"/>
    <tableColumn name="Column4" id="4"/>
  </tableColumns>
  <tableStyleInfo name="7°A-style 6" showColumnStripes="0" showFirstColumn="1" showLastColumn="1" showRowStripes="1"/>
</table>
</file>

<file path=xl/tables/table7.xml><?xml version="1.0" encoding="utf-8"?>
<table xmlns="http://schemas.openxmlformats.org/spreadsheetml/2006/main" headerRowCount="0" ref="D15:F20" displayName="Table_21" name="Table_21" id="21">
  <tableColumns count="3">
    <tableColumn name="Column1" id="1"/>
    <tableColumn name="Column2" id="2"/>
    <tableColumn name="Column3" id="3"/>
  </tableColumns>
  <tableStyleInfo name="7°A-style 7" showColumnStripes="0" showFirstColumn="1" showLastColumn="1" showRowStripes="1"/>
</table>
</file>

<file path=xl/tables/table8.xml><?xml version="1.0" encoding="utf-8"?>
<table xmlns="http://schemas.openxmlformats.org/spreadsheetml/2006/main" headerRowCount="0" ref="BG15:BJ20" displayName="Table_24" name="Table_24" id="24">
  <tableColumns count="4">
    <tableColumn name="Column1" id="1"/>
    <tableColumn name="Column2" id="2"/>
    <tableColumn name="Column3" id="3"/>
    <tableColumn name="Column4" id="4"/>
  </tableColumns>
  <tableStyleInfo name="7°A-style 8" showColumnStripes="0" showFirstColumn="1" showLastColumn="1" showRowStripes="1"/>
</table>
</file>

<file path=xl/tables/table9.xml><?xml version="1.0" encoding="utf-8"?>
<table xmlns="http://schemas.openxmlformats.org/spreadsheetml/2006/main" headerRowCount="0" ref="B16:C16" displayName="Table_27" name="Table_27" id="27">
  <tableColumns count="2">
    <tableColumn name="Column1" id="1"/>
    <tableColumn name="Column2" id="2"/>
  </tableColumns>
  <tableStyleInfo name="7°A-style 9" showColumnStripes="0" showFirstColumn="1" showLastColumn="1" showRowStripes="1"/>
</table>
</file>

<file path=xl/tables/table10.xml><?xml version="1.0" encoding="utf-8"?>
<table xmlns="http://schemas.openxmlformats.org/spreadsheetml/2006/main" headerRowCount="0" ref="B18:C18" displayName="Table_30" name="Table_30" id="30">
  <tableColumns count="2">
    <tableColumn name="Column1" id="1"/>
    <tableColumn name="Column2" id="2"/>
  </tableColumns>
  <tableStyleInfo name="7°A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D21:F26" displayName="Table_33" name="Table_33" id="33">
  <tableColumns count="3">
    <tableColumn name="Column1" id="1"/>
    <tableColumn name="Column2" id="2"/>
    <tableColumn name="Column3" id="3"/>
  </tableColumns>
  <tableStyleInfo name="7°A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BG21:BJ21" displayName="Table_36" name="Table_36" id="36">
  <tableColumns count="4">
    <tableColumn name="Column1" id="1"/>
    <tableColumn name="Column2" id="2"/>
    <tableColumn name="Column3" id="3"/>
    <tableColumn name="Column4" id="4"/>
  </tableColumns>
  <tableStyleInfo name="7°A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BG26:BJ34" displayName="Table_38" name="Table_38" id="38">
  <tableColumns count="4">
    <tableColumn name="Column1" id="1"/>
    <tableColumn name="Column2" id="2"/>
    <tableColumn name="Column3" id="3"/>
    <tableColumn name="Column4" id="4"/>
  </tableColumns>
  <tableStyleInfo name="7°A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C27:E27" displayName="Table_41" name="Table_41" id="41">
  <tableColumns count="3">
    <tableColumn name="Column1" id="1"/>
    <tableColumn name="Column2" id="2"/>
    <tableColumn name="Column3" id="3"/>
  </tableColumns>
  <tableStyleInfo name="7°A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F27" displayName="Table_43" name="Table_43" id="44">
  <tableColumns count="1">
    <tableColumn name="Column1" id="1"/>
  </tableColumns>
  <tableStyleInfo name="7°A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BF27" displayName="Table_46" name="Table_46" id="46">
  <tableColumns count="1">
    <tableColumn name="Column1" id="1"/>
  </tableColumns>
  <tableStyleInfo name="7°A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B28:J34" displayName="Table_48" name="Table_48" id="4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7°A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BG35" displayName="Table_50" name="Table_50" id="51">
  <tableColumns count="1">
    <tableColumn name="Column1" id="1"/>
  </tableColumns>
  <tableStyleInfo name="7°A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BG37" displayName="Table_52" name="Table_52" id="52">
  <tableColumns count="1">
    <tableColumn name="Column1" id="1"/>
  </tableColumns>
  <tableStyleInfo name="7°A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BG46:BG48" displayName="Table_54" name="Table_54" id="54">
  <tableColumns count="1">
    <tableColumn name="Column1" id="1"/>
  </tableColumns>
  <tableStyleInfo name="7°A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B5:E5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7°B-style" showColumnStripes="0" showFirstColumn="1" showLastColumn="1" showRowStripes="1"/>
</table>
</file>

<file path=xl/tables/table22.xml><?xml version="1.0" encoding="utf-8"?>
<table xmlns="http://schemas.openxmlformats.org/spreadsheetml/2006/main" headerRowCount="0" ref="B8:E8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7°B-style 2" showColumnStripes="0" showFirstColumn="1" showLastColumn="1" showRowStripes="1"/>
</table>
</file>

<file path=xl/tables/table23.xml><?xml version="1.0" encoding="utf-8"?>
<table xmlns="http://schemas.openxmlformats.org/spreadsheetml/2006/main" headerRowCount="0" ref="B9" displayName="Table_7" name="Table_7" id="7">
  <tableColumns count="1">
    <tableColumn name="Column1" id="1"/>
  </tableColumns>
  <tableStyleInfo name="7°B-style 3" showColumnStripes="0" showFirstColumn="1" showLastColumn="1" showRowStripes="1"/>
</table>
</file>

<file path=xl/tables/table24.xml><?xml version="1.0" encoding="utf-8"?>
<table xmlns="http://schemas.openxmlformats.org/spreadsheetml/2006/main" headerRowCount="0" ref="B10:E10" displayName="Table_8" name="Table_8" id="9">
  <tableColumns count="4">
    <tableColumn name="Column1" id="1"/>
    <tableColumn name="Column2" id="2"/>
    <tableColumn name="Column3" id="3"/>
    <tableColumn name="Column4" id="4"/>
  </tableColumns>
  <tableStyleInfo name="7°B-style 4" showColumnStripes="0" showFirstColumn="1" showLastColumn="1" showRowStripes="1"/>
</table>
</file>

<file path=xl/tables/table25.xml><?xml version="1.0" encoding="utf-8"?>
<table xmlns="http://schemas.openxmlformats.org/spreadsheetml/2006/main" headerRowCount="0" ref="B13" displayName="Table_11" name="Table_11" id="11">
  <tableColumns count="1">
    <tableColumn name="Column1" id="1"/>
  </tableColumns>
  <tableStyleInfo name="7°B-style 5" showColumnStripes="0" showFirstColumn="1" showLastColumn="1" showRowStripes="1"/>
</table>
</file>

<file path=xl/tables/table26.xml><?xml version="1.0" encoding="utf-8"?>
<table xmlns="http://schemas.openxmlformats.org/spreadsheetml/2006/main" headerRowCount="0" ref="D13:F13" displayName="Table_14" name="Table_14" id="14">
  <tableColumns count="3">
    <tableColumn name="Column1" id="1"/>
    <tableColumn name="Column2" id="2"/>
    <tableColumn name="Column3" id="3"/>
  </tableColumns>
  <tableStyleInfo name="7°B-style 6" showColumnStripes="0" showFirstColumn="1" showLastColumn="1" showRowStripes="1"/>
</table>
</file>

<file path=xl/tables/table27.xml><?xml version="1.0" encoding="utf-8"?>
<table xmlns="http://schemas.openxmlformats.org/spreadsheetml/2006/main" headerRowCount="0" ref="BG13:BL14" displayName="Table_17" name="Table_17" id="1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7°B-style 7" showColumnStripes="0" showFirstColumn="1" showLastColumn="1" showRowStripes="1"/>
</table>
</file>

<file path=xl/tables/table28.xml><?xml version="1.0" encoding="utf-8"?>
<table xmlns="http://schemas.openxmlformats.org/spreadsheetml/2006/main" headerRowCount="0" ref="B14:E14" displayName="Table_19" name="Table_19" id="19">
  <tableColumns count="4">
    <tableColumn name="Column1" id="1"/>
    <tableColumn name="Column2" id="2"/>
    <tableColumn name="Column3" id="3"/>
    <tableColumn name="Column4" id="4"/>
  </tableColumns>
  <tableStyleInfo name="7°B-style 8" showColumnStripes="0" showFirstColumn="1" showLastColumn="1" showRowStripes="1"/>
</table>
</file>

<file path=xl/tables/table29.xml><?xml version="1.0" encoding="utf-8"?>
<table xmlns="http://schemas.openxmlformats.org/spreadsheetml/2006/main" headerRowCount="0" ref="B15:D15" displayName="Table_22" name="Table_22" id="22">
  <tableColumns count="3">
    <tableColumn name="Column1" id="1"/>
    <tableColumn name="Column2" id="2"/>
    <tableColumn name="Column3" id="3"/>
  </tableColumns>
  <tableStyleInfo name="7°B-style 9" showColumnStripes="0" showFirstColumn="1" showLastColumn="1" showRowStripes="1"/>
</table>
</file>

<file path=xl/tables/table30.xml><?xml version="1.0" encoding="utf-8"?>
<table xmlns="http://schemas.openxmlformats.org/spreadsheetml/2006/main" headerRowCount="0" ref="BG15:BL19" displayName="Table_26" name="Table_26" id="2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7°B-style 10" showColumnStripes="0" showFirstColumn="1" showLastColumn="1" showRowStripes="1"/>
</table>
</file>

<file path=xl/tables/table31.xml><?xml version="1.0" encoding="utf-8"?>
<table xmlns="http://schemas.openxmlformats.org/spreadsheetml/2006/main" headerRowCount="0" ref="B17:E17" displayName="Table_28" name="Table_28" id="29">
  <tableColumns count="4">
    <tableColumn name="Column1" id="1"/>
    <tableColumn name="Column2" id="2"/>
    <tableColumn name="Column3" id="3"/>
    <tableColumn name="Column4" id="4"/>
  </tableColumns>
  <tableStyleInfo name="7°B-style 11" showColumnStripes="0" showFirstColumn="1" showLastColumn="1" showRowStripes="1"/>
</table>
</file>

<file path=xl/tables/table32.xml><?xml version="1.0" encoding="utf-8"?>
<table xmlns="http://schemas.openxmlformats.org/spreadsheetml/2006/main" headerRowCount="0" ref="D20:F20" displayName="Table_31" name="Table_31" id="31">
  <tableColumns count="3">
    <tableColumn name="Column1" id="1"/>
    <tableColumn name="Column2" id="2"/>
    <tableColumn name="Column3" id="3"/>
  </tableColumns>
  <tableStyleInfo name="7°B-style 12" showColumnStripes="0" showFirstColumn="1" showLastColumn="1" showRowStripes="1"/>
</table>
</file>

<file path=xl/tables/table33.xml><?xml version="1.0" encoding="utf-8"?>
<table xmlns="http://schemas.openxmlformats.org/spreadsheetml/2006/main" headerRowCount="0" ref="BG20:BL22" displayName="Table_34" name="Table_34" id="3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7°B-style 13" showColumnStripes="0" showFirstColumn="1" showLastColumn="1" showRowStripes="1"/>
</table>
</file>

<file path=xl/tables/table34.xml><?xml version="1.0" encoding="utf-8"?>
<table xmlns="http://schemas.openxmlformats.org/spreadsheetml/2006/main" headerRowCount="0" ref="D25:F25" displayName="Table_37" name="Table_37" id="37">
  <tableColumns count="3">
    <tableColumn name="Column1" id="1"/>
    <tableColumn name="Column2" id="2"/>
    <tableColumn name="Column3" id="3"/>
  </tableColumns>
  <tableStyleInfo name="7°B-style 14" showColumnStripes="0" showFirstColumn="1" showLastColumn="1" showRowStripes="1"/>
</table>
</file>

<file path=xl/tables/table35.xml><?xml version="1.0" encoding="utf-8"?>
<table xmlns="http://schemas.openxmlformats.org/spreadsheetml/2006/main" headerRowCount="0" ref="BG25" displayName="Table_40" name="Table_40" id="40">
  <tableColumns count="1">
    <tableColumn name="Column1" id="1"/>
  </tableColumns>
  <tableStyleInfo name="7°B-style 15" showColumnStripes="0" showFirstColumn="1" showLastColumn="1" showRowStripes="1"/>
</table>
</file>

<file path=xl/tables/table36.xml><?xml version="1.0" encoding="utf-8"?>
<table xmlns="http://schemas.openxmlformats.org/spreadsheetml/2006/main" headerRowCount="0" ref="BG26:BL31" displayName="Table_44" name="Table_44" id="4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7°B-style 16" showColumnStripes="0" showFirstColumn="1" showLastColumn="1" showRowStripes="1"/>
</table>
</file>

<file path=xl/tables/table37.xml><?xml version="1.0" encoding="utf-8"?>
<table xmlns="http://schemas.openxmlformats.org/spreadsheetml/2006/main" headerRowCount="0" ref="B27:E31" displayName="Table_47" name="Table_47" id="47">
  <tableColumns count="4">
    <tableColumn name="Column1" id="1"/>
    <tableColumn name="Column2" id="2"/>
    <tableColumn name="Column3" id="3"/>
    <tableColumn name="Column4" id="4"/>
  </tableColumns>
  <tableStyleInfo name="7°B-style 17" showColumnStripes="0" showFirstColumn="1" showLastColumn="1" showRowStripes="1"/>
</table>
</file>

<file path=xl/tables/table38.xml><?xml version="1.0" encoding="utf-8"?>
<table xmlns="http://schemas.openxmlformats.org/spreadsheetml/2006/main" headerRowCount="0" ref="B5:C5" displayName="Table_2" name="Table_2" id="2">
  <tableColumns count="2">
    <tableColumn name="Column1" id="1"/>
    <tableColumn name="Column2" id="2"/>
  </tableColumns>
  <tableStyleInfo name="7°C-style" showColumnStripes="0" showFirstColumn="1" showLastColumn="1" showRowStripes="1"/>
</table>
</file>

<file path=xl/tables/table39.xml><?xml version="1.0" encoding="utf-8"?>
<table xmlns="http://schemas.openxmlformats.org/spreadsheetml/2006/main" headerRowCount="0" ref="D5:F6" displayName="Table_5" name="Table_5" id="5">
  <tableColumns count="3">
    <tableColumn name="Column1" id="1"/>
    <tableColumn name="Column2" id="2"/>
    <tableColumn name="Column3" id="3"/>
  </tableColumns>
  <tableStyleInfo name="7°C-style 2" showColumnStripes="0" showFirstColumn="1" showLastColumn="1" showRowStripes="1"/>
</table>
</file>

<file path=xl/tables/table40.xml><?xml version="1.0" encoding="utf-8"?>
<table xmlns="http://schemas.openxmlformats.org/spreadsheetml/2006/main" headerRowCount="0" ref="BG5" displayName="Table_10" name="Table_10" id="10">
  <tableColumns count="1">
    <tableColumn name="Column1" id="1"/>
  </tableColumns>
  <tableStyleInfo name="7°C-style 3" showColumnStripes="0" showFirstColumn="1" showLastColumn="1" showRowStripes="1"/>
</table>
</file>

<file path=xl/tables/table41.xml><?xml version="1.0" encoding="utf-8"?>
<table xmlns="http://schemas.openxmlformats.org/spreadsheetml/2006/main" headerRowCount="0" ref="B6:C6" displayName="Table_12" name="Table_12" id="12">
  <tableColumns count="2">
    <tableColumn name="Column1" id="1"/>
    <tableColumn name="Column2" id="2"/>
  </tableColumns>
  <tableStyleInfo name="7°C-style 4" showColumnStripes="0" showFirstColumn="1" showLastColumn="1" showRowStripes="1"/>
</table>
</file>

<file path=xl/tables/table42.xml><?xml version="1.0" encoding="utf-8"?>
<table xmlns="http://schemas.openxmlformats.org/spreadsheetml/2006/main" headerRowCount="0" ref="B7:D7" displayName="Table_16" name="Table_16" id="15">
  <tableColumns count="3">
    <tableColumn name="Column1" id="1"/>
    <tableColumn name="Column2" id="2"/>
    <tableColumn name="Column3" id="3"/>
  </tableColumns>
  <tableStyleInfo name="7°C-style 5" showColumnStripes="0" showFirstColumn="1" showLastColumn="1" showRowStripes="1"/>
</table>
</file>

<file path=xl/tables/table43.xml><?xml version="1.0" encoding="utf-8"?>
<table xmlns="http://schemas.openxmlformats.org/spreadsheetml/2006/main" headerRowCount="0" ref="B8:D8" displayName="Table_20" name="Table_20" id="20">
  <tableColumns count="3">
    <tableColumn name="Column1" id="1"/>
    <tableColumn name="Column2" id="2"/>
    <tableColumn name="Column3" id="3"/>
  </tableColumns>
  <tableStyleInfo name="7°C-style 6" showColumnStripes="0" showFirstColumn="1" showLastColumn="1" showRowStripes="1"/>
</table>
</file>

<file path=xl/tables/table44.xml><?xml version="1.0" encoding="utf-8"?>
<table xmlns="http://schemas.openxmlformats.org/spreadsheetml/2006/main" headerRowCount="0" ref="B9:D9" displayName="Table_23" name="Table_23" id="23">
  <tableColumns count="3">
    <tableColumn name="Column1" id="1"/>
    <tableColumn name="Column2" id="2"/>
    <tableColumn name="Column3" id="3"/>
  </tableColumns>
  <tableStyleInfo name="7°C-style 7" showColumnStripes="0" showFirstColumn="1" showLastColumn="1" showRowStripes="1"/>
</table>
</file>

<file path=xl/tables/table45.xml><?xml version="1.0" encoding="utf-8"?>
<table xmlns="http://schemas.openxmlformats.org/spreadsheetml/2006/main" headerRowCount="0" ref="B10:D10" displayName="Table_25" name="Table_25" id="25">
  <tableColumns count="3">
    <tableColumn name="Column1" id="1"/>
    <tableColumn name="Column2" id="2"/>
    <tableColumn name="Column3" id="3"/>
  </tableColumns>
  <tableStyleInfo name="7°C-style 8" showColumnStripes="0" showFirstColumn="1" showLastColumn="1" showRowStripes="1"/>
</table>
</file>

<file path=xl/tables/table46.xml><?xml version="1.0" encoding="utf-8"?>
<table xmlns="http://schemas.openxmlformats.org/spreadsheetml/2006/main" headerRowCount="0" ref="B11:D11" displayName="Table_29" name="Table_29" id="28">
  <tableColumns count="3">
    <tableColumn name="Column1" id="1"/>
    <tableColumn name="Column2" id="2"/>
    <tableColumn name="Column3" id="3"/>
  </tableColumns>
  <tableStyleInfo name="7°C-style 9" showColumnStripes="0" showFirstColumn="1" showLastColumn="1" showRowStripes="1"/>
</table>
</file>

<file path=xl/tables/table47.xml><?xml version="1.0" encoding="utf-8"?>
<table xmlns="http://schemas.openxmlformats.org/spreadsheetml/2006/main" headerRowCount="0" ref="B12:D12" displayName="Table_32" name="Table_32" id="32">
  <tableColumns count="3">
    <tableColumn name="Column1" id="1"/>
    <tableColumn name="Column2" id="2"/>
    <tableColumn name="Column3" id="3"/>
  </tableColumns>
  <tableStyleInfo name="7°C-style 10" showColumnStripes="0" showFirstColumn="1" showLastColumn="1" showRowStripes="1"/>
</table>
</file>

<file path=xl/tables/table48.xml><?xml version="1.0" encoding="utf-8"?>
<table xmlns="http://schemas.openxmlformats.org/spreadsheetml/2006/main" headerRowCount="0" ref="B13:W13" displayName="Table_35" name="Table_35" id="35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7°C-style 11" showColumnStripes="0" showFirstColumn="1" showLastColumn="1" showRowStripes="1"/>
</table>
</file>

<file path=xl/tables/table49.xml><?xml version="1.0" encoding="utf-8"?>
<table xmlns="http://schemas.openxmlformats.org/spreadsheetml/2006/main" headerRowCount="0" ref="B14:D14" displayName="Table_39" name="Table_39" id="39">
  <tableColumns count="3">
    <tableColumn name="Column1" id="1"/>
    <tableColumn name="Column2" id="2"/>
    <tableColumn name="Column3" id="3"/>
  </tableColumns>
  <tableStyleInfo name="7°C-style 12" showColumnStripes="0" showFirstColumn="1" showLastColumn="1" showRowStripes="1"/>
</table>
</file>

<file path=xl/tables/table50.xml><?xml version="1.0" encoding="utf-8"?>
<table xmlns="http://schemas.openxmlformats.org/spreadsheetml/2006/main" headerRowCount="0" ref="B15:D15" displayName="Table_42" name="Table_42" id="42">
  <tableColumns count="3">
    <tableColumn name="Column1" id="1"/>
    <tableColumn name="Column2" id="2"/>
    <tableColumn name="Column3" id="3"/>
  </tableColumns>
  <tableStyleInfo name="7°C-style 13" showColumnStripes="0" showFirstColumn="1" showLastColumn="1" showRowStripes="1"/>
</table>
</file>

<file path=xl/tables/table51.xml><?xml version="1.0" encoding="utf-8"?>
<table xmlns="http://schemas.openxmlformats.org/spreadsheetml/2006/main" headerRowCount="0" ref="BG15:BH16" displayName="Table_45" name="Table_45" id="45">
  <tableColumns count="2">
    <tableColumn name="Column1" id="1"/>
    <tableColumn name="Column2" id="2"/>
  </tableColumns>
  <tableStyleInfo name="7°C-style 14" showColumnStripes="0" showFirstColumn="1" showLastColumn="1" showRowStripes="1"/>
</table>
</file>

<file path=xl/tables/table52.xml><?xml version="1.0" encoding="utf-8"?>
<table xmlns="http://schemas.openxmlformats.org/spreadsheetml/2006/main" headerRowCount="0" ref="D16:F17" displayName="Table_49" name="Table_49" id="49">
  <tableColumns count="3">
    <tableColumn name="Column1" id="1"/>
    <tableColumn name="Column2" id="2"/>
    <tableColumn name="Column3" id="3"/>
  </tableColumns>
  <tableStyleInfo name="7°C-style 15" showColumnStripes="0" showFirstColumn="1" showLastColumn="1" showRowStripes="1"/>
</table>
</file>

<file path=xl/tables/table53.xml><?xml version="1.0" encoding="utf-8"?>
<table xmlns="http://schemas.openxmlformats.org/spreadsheetml/2006/main" headerRowCount="0" ref="B17:C17" displayName="Table_51" name="Table_51" id="50">
  <tableColumns count="2">
    <tableColumn name="Column1" id="1"/>
    <tableColumn name="Column2" id="2"/>
  </tableColumns>
  <tableStyleInfo name="7°C-style 16" showColumnStripes="0" showFirstColumn="1" showLastColumn="1" showRowStripes="1"/>
</table>
</file>

<file path=xl/tables/table54.xml><?xml version="1.0" encoding="utf-8"?>
<table xmlns="http://schemas.openxmlformats.org/spreadsheetml/2006/main" headerRowCount="0" ref="B18:D18" displayName="Table_53" name="Table_53" id="53">
  <tableColumns count="3">
    <tableColumn name="Column1" id="1"/>
    <tableColumn name="Column2" id="2"/>
    <tableColumn name="Column3" id="3"/>
  </tableColumns>
  <tableStyleInfo name="7°C-style 17" showColumnStripes="0" showFirstColumn="1" showLastColumn="1" showRowStripes="1"/>
</table>
</file>

<file path=xl/tables/table55.xml><?xml version="1.0" encoding="utf-8"?>
<table xmlns="http://schemas.openxmlformats.org/spreadsheetml/2006/main" headerRowCount="0" ref="B19:D19" displayName="Table_55" name="Table_55" id="55">
  <tableColumns count="3">
    <tableColumn name="Column1" id="1"/>
    <tableColumn name="Column2" id="2"/>
    <tableColumn name="Column3" id="3"/>
  </tableColumns>
  <tableStyleInfo name="7°C-style 18" showColumnStripes="0" showFirstColumn="1" showLastColumn="1" showRowStripes="1"/>
</table>
</file>

<file path=xl/tables/table56.xml><?xml version="1.0" encoding="utf-8"?>
<table xmlns="http://schemas.openxmlformats.org/spreadsheetml/2006/main" headerRowCount="0" ref="B20:C20" displayName="Table_56" name="Table_56" id="56">
  <tableColumns count="2">
    <tableColumn name="Column1" id="1"/>
    <tableColumn name="Column2" id="2"/>
  </tableColumns>
  <tableStyleInfo name="7°C-style 19" showColumnStripes="0" showFirstColumn="1" showLastColumn="1" showRowStripes="1"/>
</table>
</file>

<file path=xl/tables/table57.xml><?xml version="1.0" encoding="utf-8"?>
<table xmlns="http://schemas.openxmlformats.org/spreadsheetml/2006/main" headerRowCount="0" ref="D20:F21" displayName="Table_57" name="Table_57" id="57">
  <tableColumns count="3">
    <tableColumn name="Column1" id="1"/>
    <tableColumn name="Column2" id="2"/>
    <tableColumn name="Column3" id="3"/>
  </tableColumns>
  <tableStyleInfo name="7°C-style 20" showColumnStripes="0" showFirstColumn="1" showLastColumn="1" showRowStripes="1"/>
</table>
</file>

<file path=xl/tables/table58.xml><?xml version="1.0" encoding="utf-8"?>
<table xmlns="http://schemas.openxmlformats.org/spreadsheetml/2006/main" headerRowCount="0" ref="BG20:BH20" displayName="Table_58" name="Table_58" id="58">
  <tableColumns count="2">
    <tableColumn name="Column1" id="1"/>
    <tableColumn name="Column2" id="2"/>
  </tableColumns>
  <tableStyleInfo name="7°C-style 21" showColumnStripes="0" showFirstColumn="1" showLastColumn="1" showRowStripes="1"/>
</table>
</file>

<file path=xl/tables/table59.xml><?xml version="1.0" encoding="utf-8"?>
<table xmlns="http://schemas.openxmlformats.org/spreadsheetml/2006/main" headerRowCount="0" ref="B21:C21" displayName="Table_59" name="Table_59" id="59">
  <tableColumns count="2">
    <tableColumn name="Column1" id="1"/>
    <tableColumn name="Column2" id="2"/>
  </tableColumns>
  <tableStyleInfo name="7°C-style 22" showColumnStripes="0" showFirstColumn="1" showLastColumn="1" showRowStripes="1"/>
</table>
</file>

<file path=xl/tables/table60.xml><?xml version="1.0" encoding="utf-8"?>
<table xmlns="http://schemas.openxmlformats.org/spreadsheetml/2006/main" headerRowCount="0" ref="B22:D22" displayName="Table_60" name="Table_60" id="60">
  <tableColumns count="3">
    <tableColumn name="Column1" id="1"/>
    <tableColumn name="Column2" id="2"/>
    <tableColumn name="Column3" id="3"/>
  </tableColumns>
  <tableStyleInfo name="7°C-style 23" showColumnStripes="0" showFirstColumn="1" showLastColumn="1" showRowStripes="1"/>
</table>
</file>

<file path=xl/tables/table61.xml><?xml version="1.0" encoding="utf-8"?>
<table xmlns="http://schemas.openxmlformats.org/spreadsheetml/2006/main" headerRowCount="0" ref="B23:D23" displayName="Table_61" name="Table_61" id="61">
  <tableColumns count="3">
    <tableColumn name="Column1" id="1"/>
    <tableColumn name="Column2" id="2"/>
    <tableColumn name="Column3" id="3"/>
  </tableColumns>
  <tableStyleInfo name="7°C-style 24" showColumnStripes="0" showFirstColumn="1" showLastColumn="1" showRowStripes="1"/>
</table>
</file>

<file path=xl/tables/table62.xml><?xml version="1.0" encoding="utf-8"?>
<table xmlns="http://schemas.openxmlformats.org/spreadsheetml/2006/main" headerRowCount="0" ref="B24:D24" displayName="Table_62" name="Table_62" id="62">
  <tableColumns count="3">
    <tableColumn name="Column1" id="1"/>
    <tableColumn name="Column2" id="2"/>
    <tableColumn name="Column3" id="3"/>
  </tableColumns>
  <tableStyleInfo name="7°C-style 25" showColumnStripes="0" showFirstColumn="1" showLastColumn="1" showRowStripes="1"/>
</table>
</file>

<file path=xl/tables/table63.xml><?xml version="1.0" encoding="utf-8"?>
<table xmlns="http://schemas.openxmlformats.org/spreadsheetml/2006/main" headerRowCount="0" ref="B25:D25" displayName="Table_63" name="Table_63" id="63">
  <tableColumns count="3">
    <tableColumn name="Column1" id="1"/>
    <tableColumn name="Column2" id="2"/>
    <tableColumn name="Column3" id="3"/>
  </tableColumns>
  <tableStyleInfo name="7°C-style 26" showColumnStripes="0" showFirstColumn="1" showLastColumn="1" showRowStripes="1"/>
</table>
</file>

<file path=xl/tables/table64.xml><?xml version="1.0" encoding="utf-8"?>
<table xmlns="http://schemas.openxmlformats.org/spreadsheetml/2006/main" headerRowCount="0" ref="BG26:BI26" displayName="Table_64" name="Table_64" id="64">
  <tableColumns count="3">
    <tableColumn name="Column1" id="1"/>
    <tableColumn name="Column2" id="2"/>
    <tableColumn name="Column3" id="3"/>
  </tableColumns>
  <tableStyleInfo name="7°C-style 27" showColumnStripes="0" showFirstColumn="1" showLastColumn="1" showRowStripes="1"/>
</table>
</file>

<file path=xl/tables/table65.xml><?xml version="1.0" encoding="utf-8"?>
<table xmlns="http://schemas.openxmlformats.org/spreadsheetml/2006/main" headerRowCount="0" ref="B29:E33" displayName="Table_65" name="Table_65" id="65">
  <tableColumns count="4">
    <tableColumn name="Column1" id="1"/>
    <tableColumn name="Column2" id="2"/>
    <tableColumn name="Column3" id="3"/>
    <tableColumn name="Column4" id="4"/>
  </tableColumns>
  <tableStyleInfo name="7°C-style 28" showColumnStripes="0" showFirstColumn="1" showLastColumn="1" showRowStripes="1"/>
</table>
</file>

<file path=xl/tables/table66.xml><?xml version="1.0" encoding="utf-8"?>
<table xmlns="http://schemas.openxmlformats.org/spreadsheetml/2006/main" headerRowCount="0" ref="BG29:BH29" displayName="Table_66" name="Table_66" id="66">
  <tableColumns count="2">
    <tableColumn name="Column1" id="1"/>
    <tableColumn name="Column2" id="2"/>
  </tableColumns>
  <tableStyleInfo name="7°C-style 29" showColumnStripes="0" showFirstColumn="1" showLastColumn="1" showRowStripes="1"/>
</table>
</file>

<file path=xl/tables/table67.xml><?xml version="1.0" encoding="utf-8"?>
<table xmlns="http://schemas.openxmlformats.org/spreadsheetml/2006/main" headerRowCount="0" ref="B5:E5" displayName="Table_67" name="Table_67" id="67">
  <tableColumns count="4">
    <tableColumn name="Column1" id="1"/>
    <tableColumn name="Column2" id="2"/>
    <tableColumn name="Column3" id="3"/>
    <tableColumn name="Column4" id="4"/>
  </tableColumns>
  <tableStyleInfo name="7°D-style" showColumnStripes="0" showFirstColumn="1" showLastColumn="1" showRowStripes="1"/>
</table>
</file>

<file path=xl/tables/table68.xml><?xml version="1.0" encoding="utf-8"?>
<table xmlns="http://schemas.openxmlformats.org/spreadsheetml/2006/main" headerRowCount="0" ref="B7:E7" displayName="Table_68" name="Table_68" id="68">
  <tableColumns count="4">
    <tableColumn name="Column1" id="1"/>
    <tableColumn name="Column2" id="2"/>
    <tableColumn name="Column3" id="3"/>
    <tableColumn name="Column4" id="4"/>
  </tableColumns>
  <tableStyleInfo name="7°D-style 2" showColumnStripes="0" showFirstColumn="1" showLastColumn="1" showRowStripes="1"/>
</table>
</file>

<file path=xl/tables/table69.xml><?xml version="1.0" encoding="utf-8"?>
<table xmlns="http://schemas.openxmlformats.org/spreadsheetml/2006/main" headerRowCount="0" ref="B8:E8" displayName="Table_69" name="Table_69" id="69">
  <tableColumns count="4">
    <tableColumn name="Column1" id="1"/>
    <tableColumn name="Column2" id="2"/>
    <tableColumn name="Column3" id="3"/>
    <tableColumn name="Column4" id="4"/>
  </tableColumns>
  <tableStyleInfo name="7°D-style 3" showColumnStripes="0" showFirstColumn="1" showLastColumn="1" showRowStripes="1"/>
</table>
</file>

<file path=xl/tables/table70.xml><?xml version="1.0" encoding="utf-8"?>
<table xmlns="http://schemas.openxmlformats.org/spreadsheetml/2006/main" headerRowCount="0" ref="B9:E9" displayName="Table_70" name="Table_70" id="70">
  <tableColumns count="4">
    <tableColumn name="Column1" id="1"/>
    <tableColumn name="Column2" id="2"/>
    <tableColumn name="Column3" id="3"/>
    <tableColumn name="Column4" id="4"/>
  </tableColumns>
  <tableStyleInfo name="7°D-style 4" showColumnStripes="0" showFirstColumn="1" showLastColumn="1" showRowStripes="1"/>
</table>
</file>

<file path=xl/tables/table71.xml><?xml version="1.0" encoding="utf-8"?>
<table xmlns="http://schemas.openxmlformats.org/spreadsheetml/2006/main" headerRowCount="0" ref="B10:M10" displayName="Table_71" name="Table_71" id="7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7°D-style 5" showColumnStripes="0" showFirstColumn="1" showLastColumn="1" showRowStripes="1"/>
</table>
</file>

<file path=xl/tables/table72.xml><?xml version="1.0" encoding="utf-8"?>
<table xmlns="http://schemas.openxmlformats.org/spreadsheetml/2006/main" headerRowCount="0" ref="B11:G14" displayName="Table_72" name="Table_72" id="7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7°D-style 6" showColumnStripes="0" showFirstColumn="1" showLastColumn="1" showRowStripes="1"/>
</table>
</file>

<file path=xl/tables/table73.xml><?xml version="1.0" encoding="utf-8"?>
<table xmlns="http://schemas.openxmlformats.org/spreadsheetml/2006/main" headerRowCount="0" ref="BG12:BG16" displayName="Table_73" name="Table_73" id="73">
  <tableColumns count="1">
    <tableColumn name="Column1" id="1"/>
  </tableColumns>
  <tableStyleInfo name="7°D-style 7" showColumnStripes="0" showFirstColumn="1" showLastColumn="1" showRowStripes="1"/>
</table>
</file>

<file path=xl/tables/table74.xml><?xml version="1.0" encoding="utf-8"?>
<table xmlns="http://schemas.openxmlformats.org/spreadsheetml/2006/main" headerRowCount="0" ref="B15:E15" displayName="Table_74" name="Table_74" id="74">
  <tableColumns count="4">
    <tableColumn name="Column1" id="1"/>
    <tableColumn name="Column2" id="2"/>
    <tableColumn name="Column3" id="3"/>
    <tableColumn name="Column4" id="4"/>
  </tableColumns>
  <tableStyleInfo name="7°D-style 8" showColumnStripes="0" showFirstColumn="1" showLastColumn="1" showRowStripes="1"/>
</table>
</file>

<file path=xl/tables/table75.xml><?xml version="1.0" encoding="utf-8"?>
<table xmlns="http://schemas.openxmlformats.org/spreadsheetml/2006/main" headerRowCount="0" ref="B16:G17" displayName="Table_75" name="Table_75" id="7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7°D-style 9" showColumnStripes="0" showFirstColumn="1" showLastColumn="1" showRowStripes="1"/>
</table>
</file>

<file path=xl/tables/table76.xml><?xml version="1.0" encoding="utf-8"?>
<table xmlns="http://schemas.openxmlformats.org/spreadsheetml/2006/main" headerRowCount="0" ref="BG17:BG25" displayName="Table_76" name="Table_76" id="76">
  <tableColumns count="1">
    <tableColumn name="Column1" id="1"/>
  </tableColumns>
  <tableStyleInfo name="7°D-style 10" showColumnStripes="0" showFirstColumn="1" showLastColumn="1" showRowStripes="1"/>
</table>
</file>

<file path=xl/tables/table77.xml><?xml version="1.0" encoding="utf-8"?>
<table xmlns="http://schemas.openxmlformats.org/spreadsheetml/2006/main" headerRowCount="0" ref="B18:E18" displayName="Table_77" name="Table_77" id="77">
  <tableColumns count="4">
    <tableColumn name="Column1" id="1"/>
    <tableColumn name="Column2" id="2"/>
    <tableColumn name="Column3" id="3"/>
    <tableColumn name="Column4" id="4"/>
  </tableColumns>
  <tableStyleInfo name="7°D-style 11" showColumnStripes="0" showFirstColumn="1" showLastColumn="1" showRowStripes="1"/>
</table>
</file>

<file path=xl/tables/table78.xml><?xml version="1.0" encoding="utf-8"?>
<table xmlns="http://schemas.openxmlformats.org/spreadsheetml/2006/main" headerRowCount="0" ref="B19:E19" displayName="Table_78" name="Table_78" id="78">
  <tableColumns count="4">
    <tableColumn name="Column1" id="1"/>
    <tableColumn name="Column2" id="2"/>
    <tableColumn name="Column3" id="3"/>
    <tableColumn name="Column4" id="4"/>
  </tableColumns>
  <tableStyleInfo name="7°D-style 12" showColumnStripes="0" showFirstColumn="1" showLastColumn="1" showRowStripes="1"/>
</table>
</file>

<file path=xl/tables/table79.xml><?xml version="1.0" encoding="utf-8"?>
<table xmlns="http://schemas.openxmlformats.org/spreadsheetml/2006/main" headerRowCount="0" ref="B20:E20" displayName="Table_79" name="Table_79" id="79">
  <tableColumns count="4">
    <tableColumn name="Column1" id="1"/>
    <tableColumn name="Column2" id="2"/>
    <tableColumn name="Column3" id="3"/>
    <tableColumn name="Column4" id="4"/>
  </tableColumns>
  <tableStyleInfo name="7°D-style 13" showColumnStripes="0" showFirstColumn="1" showLastColumn="1" showRowStripes="1"/>
</table>
</file>

<file path=xl/tables/table80.xml><?xml version="1.0" encoding="utf-8"?>
<table xmlns="http://schemas.openxmlformats.org/spreadsheetml/2006/main" headerRowCount="0" ref="B21:E21" displayName="Table_80" name="Table_80" id="80">
  <tableColumns count="4">
    <tableColumn name="Column1" id="1"/>
    <tableColumn name="Column2" id="2"/>
    <tableColumn name="Column3" id="3"/>
    <tableColumn name="Column4" id="4"/>
  </tableColumns>
  <tableStyleInfo name="7°D-style 14" showColumnStripes="0" showFirstColumn="1" showLastColumn="1" showRowStripes="1"/>
</table>
</file>

<file path=xl/tables/table81.xml><?xml version="1.0" encoding="utf-8"?>
<table xmlns="http://schemas.openxmlformats.org/spreadsheetml/2006/main" headerRowCount="0" ref="B22:E22" displayName="Table_81" name="Table_81" id="81">
  <tableColumns count="4">
    <tableColumn name="Column1" id="1"/>
    <tableColumn name="Column2" id="2"/>
    <tableColumn name="Column3" id="3"/>
    <tableColumn name="Column4" id="4"/>
  </tableColumns>
  <tableStyleInfo name="7°D-style 15" showColumnStripes="0" showFirstColumn="1" showLastColumn="1" showRowStripes="1"/>
</table>
</file>

<file path=xl/tables/table82.xml><?xml version="1.0" encoding="utf-8"?>
<table xmlns="http://schemas.openxmlformats.org/spreadsheetml/2006/main" headerRowCount="0" ref="B23:E23" displayName="Table_82" name="Table_82" id="82">
  <tableColumns count="4">
    <tableColumn name="Column1" id="1"/>
    <tableColumn name="Column2" id="2"/>
    <tableColumn name="Column3" id="3"/>
    <tableColumn name="Column4" id="4"/>
  </tableColumns>
  <tableStyleInfo name="7°D-style 16" showColumnStripes="0" showFirstColumn="1" showLastColumn="1" showRowStripes="1"/>
</table>
</file>

<file path=xl/tables/table83.xml><?xml version="1.0" encoding="utf-8"?>
<table xmlns="http://schemas.openxmlformats.org/spreadsheetml/2006/main" headerRowCount="0" ref="BG26:BQ31" displayName="Table_83" name="Table_83" id="8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7°D-style 17" showColumnStripes="0" showFirstColumn="1" showLastColumn="1" showRowStripes="1"/>
</table>
</file>

<file path=xl/tables/table84.xml><?xml version="1.0" encoding="utf-8"?>
<table xmlns="http://schemas.openxmlformats.org/spreadsheetml/2006/main" headerRowCount="0" ref="B29:D33" displayName="Table_84" name="Table_84" id="84">
  <tableColumns count="3">
    <tableColumn name="Column1" id="1"/>
    <tableColumn name="Column2" id="2"/>
    <tableColumn name="Column3" id="3"/>
  </tableColumns>
  <tableStyleInfo name="7°D-style 18" showColumnStripes="0" showFirstColumn="1" showLastColumn="1" showRowStripes="1"/>
</table>
</file>

<file path=xl/tables/table85.xml><?xml version="1.0" encoding="utf-8"?>
<table xmlns="http://schemas.openxmlformats.org/spreadsheetml/2006/main" headerRowCount="0" ref="B5:H5" displayName="Table_85" name="Table_85" id="8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8°A-style" showColumnStripes="0" showFirstColumn="1" showLastColumn="1" showRowStripes="1"/>
</table>
</file>

<file path=xl/tables/table86.xml><?xml version="1.0" encoding="utf-8"?>
<table xmlns="http://schemas.openxmlformats.org/spreadsheetml/2006/main" headerRowCount="0" ref="B7:D7" displayName="Table_86" name="Table_86" id="86">
  <tableColumns count="3">
    <tableColumn name="Column1" id="1"/>
    <tableColumn name="Column2" id="2"/>
    <tableColumn name="Column3" id="3"/>
  </tableColumns>
  <tableStyleInfo name="8°A-style 2" showColumnStripes="0" showFirstColumn="1" showLastColumn="1" showRowStripes="1"/>
</table>
</file>

<file path=xl/tables/table87.xml><?xml version="1.0" encoding="utf-8"?>
<table xmlns="http://schemas.openxmlformats.org/spreadsheetml/2006/main" headerRowCount="0" ref="B8:D8" displayName="Table_87" name="Table_87" id="87">
  <tableColumns count="3">
    <tableColumn name="Column1" id="1"/>
    <tableColumn name="Column2" id="2"/>
    <tableColumn name="Column3" id="3"/>
  </tableColumns>
  <tableStyleInfo name="8°A-style 3" showColumnStripes="0" showFirstColumn="1" showLastColumn="1" showRowStripes="1"/>
</table>
</file>

<file path=xl/tables/table88.xml><?xml version="1.0" encoding="utf-8"?>
<table xmlns="http://schemas.openxmlformats.org/spreadsheetml/2006/main" headerRowCount="0" ref="B9:D9" displayName="Table_88" name="Table_88" id="88">
  <tableColumns count="3">
    <tableColumn name="Column1" id="1"/>
    <tableColumn name="Column2" id="2"/>
    <tableColumn name="Column3" id="3"/>
  </tableColumns>
  <tableStyleInfo name="8°A-style 4" showColumnStripes="0" showFirstColumn="1" showLastColumn="1" showRowStripes="1"/>
</table>
</file>

<file path=xl/tables/table89.xml><?xml version="1.0" encoding="utf-8"?>
<table xmlns="http://schemas.openxmlformats.org/spreadsheetml/2006/main" headerRowCount="0" ref="B10:D10" displayName="Table_89" name="Table_89" id="89">
  <tableColumns count="3">
    <tableColumn name="Column1" id="1"/>
    <tableColumn name="Column2" id="2"/>
    <tableColumn name="Column3" id="3"/>
  </tableColumns>
  <tableStyleInfo name="8°A-style 5" showColumnStripes="0" showFirstColumn="1" showLastColumn="1" showRowStripes="1"/>
</table>
</file>

<file path=xl/tables/table90.xml><?xml version="1.0" encoding="utf-8"?>
<table xmlns="http://schemas.openxmlformats.org/spreadsheetml/2006/main" headerRowCount="0" ref="B12:D12" displayName="Table_90" name="Table_90" id="90">
  <tableColumns count="3">
    <tableColumn name="Column1" id="1"/>
    <tableColumn name="Column2" id="2"/>
    <tableColumn name="Column3" id="3"/>
  </tableColumns>
  <tableStyleInfo name="8°A-style 6" showColumnStripes="0" showFirstColumn="1" showLastColumn="1" showRowStripes="1"/>
</table>
</file>

<file path=xl/tables/table91.xml><?xml version="1.0" encoding="utf-8"?>
<table xmlns="http://schemas.openxmlformats.org/spreadsheetml/2006/main" headerRowCount="0" ref="B13:D13" displayName="Table_91" name="Table_91" id="91">
  <tableColumns count="3">
    <tableColumn name="Column1" id="1"/>
    <tableColumn name="Column2" id="2"/>
    <tableColumn name="Column3" id="3"/>
  </tableColumns>
  <tableStyleInfo name="8°A-style 7" showColumnStripes="0" showFirstColumn="1" showLastColumn="1" showRowStripes="1"/>
</table>
</file>

<file path=xl/tables/table92.xml><?xml version="1.0" encoding="utf-8"?>
<table xmlns="http://schemas.openxmlformats.org/spreadsheetml/2006/main" headerRowCount="0" ref="B14:W14" displayName="Table_92" name="Table_92" id="92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8°A-style 8" showColumnStripes="0" showFirstColumn="1" showLastColumn="1" showRowStripes="1"/>
</table>
</file>

<file path=xl/tables/table93.xml><?xml version="1.0" encoding="utf-8"?>
<table xmlns="http://schemas.openxmlformats.org/spreadsheetml/2006/main" headerRowCount="0" ref="B15:D15" displayName="Table_93" name="Table_93" id="93">
  <tableColumns count="3">
    <tableColumn name="Column1" id="1"/>
    <tableColumn name="Column2" id="2"/>
    <tableColumn name="Column3" id="3"/>
  </tableColumns>
  <tableStyleInfo name="8°A-style 9" showColumnStripes="0" showFirstColumn="1" showLastColumn="1" showRowStripes="1"/>
</table>
</file>

<file path=xl/tables/table94.xml><?xml version="1.0" encoding="utf-8"?>
<table xmlns="http://schemas.openxmlformats.org/spreadsheetml/2006/main" headerRowCount="0" ref="B16:D16" displayName="Table_94" name="Table_94" id="94">
  <tableColumns count="3">
    <tableColumn name="Column1" id="1"/>
    <tableColumn name="Column2" id="2"/>
    <tableColumn name="Column3" id="3"/>
  </tableColumns>
  <tableStyleInfo name="8°A-style 10" showColumnStripes="0" showFirstColumn="1" showLastColumn="1" showRowStripes="1"/>
</table>
</file>

<file path=xl/tables/table95.xml><?xml version="1.0" encoding="utf-8"?>
<table xmlns="http://schemas.openxmlformats.org/spreadsheetml/2006/main" headerRowCount="0" ref="B17:C18" displayName="Table_95" name="Table_95" id="95">
  <tableColumns count="2">
    <tableColumn name="Column1" id="1"/>
    <tableColumn name="Column2" id="2"/>
  </tableColumns>
  <tableStyleInfo name="8°A-style 11" showColumnStripes="0" showFirstColumn="1" showLastColumn="1" showRowStripes="1"/>
</table>
</file>

<file path=xl/tables/table96.xml><?xml version="1.0" encoding="utf-8"?>
<table xmlns="http://schemas.openxmlformats.org/spreadsheetml/2006/main" headerRowCount="0" ref="D18:E18" displayName="Table_96" name="Table_96" id="96">
  <tableColumns count="2">
    <tableColumn name="Column1" id="1"/>
    <tableColumn name="Column2" id="2"/>
  </tableColumns>
  <tableStyleInfo name="8°A-style 12" showColumnStripes="0" showFirstColumn="1" showLastColumn="1" showRowStripes="1"/>
</table>
</file>

<file path=xl/tables/table97.xml><?xml version="1.0" encoding="utf-8"?>
<table xmlns="http://schemas.openxmlformats.org/spreadsheetml/2006/main" headerRowCount="0" ref="BG18:BH18" displayName="Table_98" name="Table_98" id="98">
  <tableColumns count="2">
    <tableColumn name="Column1" id="1"/>
    <tableColumn name="Column2" id="2"/>
  </tableColumns>
  <tableStyleInfo name="8°A-style 13" showColumnStripes="0" showFirstColumn="1" showLastColumn="1" showRowStripes="1"/>
</table>
</file>

<file path=xl/tables/table98.xml><?xml version="1.0" encoding="utf-8"?>
<table xmlns="http://schemas.openxmlformats.org/spreadsheetml/2006/main" headerRowCount="0" ref="B19:D19" displayName="Table_100" name="Table_100" id="100">
  <tableColumns count="3">
    <tableColumn name="Column1" id="1"/>
    <tableColumn name="Column2" id="2"/>
    <tableColumn name="Column3" id="3"/>
  </tableColumns>
  <tableStyleInfo name="8°A-style 14" showColumnStripes="0" showFirstColumn="1" showLastColumn="1" showRowStripes="1"/>
</table>
</file>

<file path=xl/tables/table99.xml><?xml version="1.0" encoding="utf-8"?>
<table xmlns="http://schemas.openxmlformats.org/spreadsheetml/2006/main" headerRowCount="0" ref="B20:D20" displayName="Table_102" name="Table_102" id="102">
  <tableColumns count="3">
    <tableColumn name="Column1" id="1"/>
    <tableColumn name="Column2" id="2"/>
    <tableColumn name="Column3" id="3"/>
  </tableColumns>
  <tableStyleInfo name="8°A-style 15" showColumnStripes="0" showFirstColumn="1" showLastColumn="1" showRowStripes="1"/>
</table>
</file>

<file path=xl/tables/table100.xml><?xml version="1.0" encoding="utf-8"?>
<table xmlns="http://schemas.openxmlformats.org/spreadsheetml/2006/main" headerRowCount="0" ref="B21:D21" displayName="Table_103" name="Table_103" id="103">
  <tableColumns count="3">
    <tableColumn name="Column1" id="1"/>
    <tableColumn name="Column2" id="2"/>
    <tableColumn name="Column3" id="3"/>
  </tableColumns>
  <tableStyleInfo name="8°A-style 16" showColumnStripes="0" showFirstColumn="1" showLastColumn="1" showRowStripes="1"/>
</table>
</file>

<file path=xl/tables/table101.xml><?xml version="1.0" encoding="utf-8"?>
<table xmlns="http://schemas.openxmlformats.org/spreadsheetml/2006/main" headerRowCount="0" ref="B25:D37" displayName="Table_105" name="Table_105" id="105">
  <tableColumns count="3">
    <tableColumn name="Column1" id="1"/>
    <tableColumn name="Column2" id="2"/>
    <tableColumn name="Column3" id="3"/>
  </tableColumns>
  <tableStyleInfo name="8°A-style 17" showColumnStripes="0" showFirstColumn="1" showLastColumn="1" showRowStripes="1"/>
</table>
</file>

<file path=xl/tables/table102.xml><?xml version="1.0" encoding="utf-8"?>
<table xmlns="http://schemas.openxmlformats.org/spreadsheetml/2006/main" headerRowCount="0" ref="BG26:BH26" displayName="Table_107" name="Table_107" id="107">
  <tableColumns count="2">
    <tableColumn name="Column1" id="1"/>
    <tableColumn name="Column2" id="2"/>
  </tableColumns>
  <tableStyleInfo name="8°A-style 18" showColumnStripes="0" showFirstColumn="1" showLastColumn="1" showRowStripes="1"/>
</table>
</file>

<file path=xl/tables/table103.xml><?xml version="1.0" encoding="utf-8"?>
<table xmlns="http://schemas.openxmlformats.org/spreadsheetml/2006/main" headerRowCount="0" ref="B5:D5" displayName="Table_97" name="Table_97" id="97">
  <tableColumns count="3">
    <tableColumn name="Column1" id="1"/>
    <tableColumn name="Column2" id="2"/>
    <tableColumn name="Column3" id="3"/>
  </tableColumns>
  <tableStyleInfo name="8°B-style" showColumnStripes="0" showFirstColumn="1" showLastColumn="1" showRowStripes="1"/>
</table>
</file>

<file path=xl/tables/table104.xml><?xml version="1.0" encoding="utf-8"?>
<table xmlns="http://schemas.openxmlformats.org/spreadsheetml/2006/main" headerRowCount="0" ref="E5:H8" displayName="Table_99" name="Table_99" id="99">
  <tableColumns count="4">
    <tableColumn name="Column1" id="1"/>
    <tableColumn name="Column2" id="2"/>
    <tableColumn name="Column3" id="3"/>
    <tableColumn name="Column4" id="4"/>
  </tableColumns>
  <tableStyleInfo name="8°B-style 2" showColumnStripes="0" showFirstColumn="1" showLastColumn="1" showRowStripes="1"/>
</table>
</file>

<file path=xl/tables/table105.xml><?xml version="1.0" encoding="utf-8"?>
<table xmlns="http://schemas.openxmlformats.org/spreadsheetml/2006/main" headerRowCount="0" ref="I5:N11" displayName="Table_101" name="Table_101" id="10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8°B-style 3" showColumnStripes="0" showFirstColumn="1" showLastColumn="1" showRowStripes="1"/>
</table>
</file>

<file path=xl/tables/table106.xml><?xml version="1.0" encoding="utf-8"?>
<table xmlns="http://schemas.openxmlformats.org/spreadsheetml/2006/main" headerRowCount="0" ref="B7:D7" displayName="Table_104" name="Table_104" id="104">
  <tableColumns count="3">
    <tableColumn name="Column1" id="1"/>
    <tableColumn name="Column2" id="2"/>
    <tableColumn name="Column3" id="3"/>
  </tableColumns>
  <tableStyleInfo name="8°B-style 4" showColumnStripes="0" showFirstColumn="1" showLastColumn="1" showRowStripes="1"/>
</table>
</file>

<file path=xl/tables/table107.xml><?xml version="1.0" encoding="utf-8"?>
<table xmlns="http://schemas.openxmlformats.org/spreadsheetml/2006/main" headerRowCount="0" ref="B8:D8" displayName="Table_106" name="Table_106" id="106">
  <tableColumns count="3">
    <tableColumn name="Column1" id="1"/>
    <tableColumn name="Column2" id="2"/>
    <tableColumn name="Column3" id="3"/>
  </tableColumns>
  <tableStyleInfo name="8°B-style 5" showColumnStripes="0" showFirstColumn="1" showLastColumn="1" showRowStripes="1"/>
</table>
</file>

<file path=xl/tables/table108.xml><?xml version="1.0" encoding="utf-8"?>
<table xmlns="http://schemas.openxmlformats.org/spreadsheetml/2006/main" headerRowCount="0" ref="B9:D9" displayName="Table_108" name="Table_108" id="108">
  <tableColumns count="3">
    <tableColumn name="Column1" id="1"/>
    <tableColumn name="Column2" id="2"/>
    <tableColumn name="Column3" id="3"/>
  </tableColumns>
  <tableStyleInfo name="8°B-style 6" showColumnStripes="0" showFirstColumn="1" showLastColumn="1" showRowStripes="1"/>
</table>
</file>

<file path=xl/tables/table109.xml><?xml version="1.0" encoding="utf-8"?>
<table xmlns="http://schemas.openxmlformats.org/spreadsheetml/2006/main" headerRowCount="0" ref="F9:F11" displayName="Table_109" name="Table_109" id="109">
  <tableColumns count="1">
    <tableColumn name="Column1" id="1"/>
  </tableColumns>
  <tableStyleInfo name="8°B-style 7" showColumnStripes="0" showFirstColumn="1" showLastColumn="1" showRowStripes="1"/>
</table>
</file>

<file path=xl/tables/table110.xml><?xml version="1.0" encoding="utf-8"?>
<table xmlns="http://schemas.openxmlformats.org/spreadsheetml/2006/main" headerRowCount="0" ref="B10:D10" displayName="Table_110" name="Table_110" id="110">
  <tableColumns count="3">
    <tableColumn name="Column1" id="1"/>
    <tableColumn name="Column2" id="2"/>
    <tableColumn name="Column3" id="3"/>
  </tableColumns>
  <tableStyleInfo name="8°B-style 8" showColumnStripes="0" showFirstColumn="1" showLastColumn="1" showRowStripes="1"/>
</table>
</file>

<file path=xl/tables/table111.xml><?xml version="1.0" encoding="utf-8"?>
<table xmlns="http://schemas.openxmlformats.org/spreadsheetml/2006/main" headerRowCount="0" ref="B11:D11" displayName="Table_111" name="Table_111" id="111">
  <tableColumns count="3">
    <tableColumn name="Column1" id="1"/>
    <tableColumn name="Column2" id="2"/>
    <tableColumn name="Column3" id="3"/>
  </tableColumns>
  <tableStyleInfo name="8°B-style 9" showColumnStripes="0" showFirstColumn="1" showLastColumn="1" showRowStripes="1"/>
</table>
</file>

<file path=xl/tables/table112.xml><?xml version="1.0" encoding="utf-8"?>
<table xmlns="http://schemas.openxmlformats.org/spreadsheetml/2006/main" headerRowCount="0" ref="E12:H16" displayName="Table_112" name="Table_112" id="112">
  <tableColumns count="4">
    <tableColumn name="Column1" id="1"/>
    <tableColumn name="Column2" id="2"/>
    <tableColumn name="Column3" id="3"/>
    <tableColumn name="Column4" id="4"/>
  </tableColumns>
  <tableStyleInfo name="8°B-style 10" showColumnStripes="0" showFirstColumn="1" showLastColumn="1" showRowStripes="1"/>
</table>
</file>

<file path=xl/tables/table113.xml><?xml version="1.0" encoding="utf-8"?>
<table xmlns="http://schemas.openxmlformats.org/spreadsheetml/2006/main" headerRowCount="0" ref="I12:N14" displayName="Table_113" name="Table_113" id="11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8°B-style 11" showColumnStripes="0" showFirstColumn="1" showLastColumn="1" showRowStripes="1"/>
</table>
</file>

<file path=xl/tables/table114.xml><?xml version="1.0" encoding="utf-8"?>
<table xmlns="http://schemas.openxmlformats.org/spreadsheetml/2006/main" headerRowCount="0" ref="B13:D13" displayName="Table_114" name="Table_114" id="114">
  <tableColumns count="3">
    <tableColumn name="Column1" id="1"/>
    <tableColumn name="Column2" id="2"/>
    <tableColumn name="Column3" id="3"/>
  </tableColumns>
  <tableStyleInfo name="8°B-style 12" showColumnStripes="0" showFirstColumn="1" showLastColumn="1" showRowStripes="1"/>
</table>
</file>

<file path=xl/tables/table115.xml><?xml version="1.0" encoding="utf-8"?>
<table xmlns="http://schemas.openxmlformats.org/spreadsheetml/2006/main" headerRowCount="0" ref="B14:D14" displayName="Table_115" name="Table_115" id="115">
  <tableColumns count="3">
    <tableColumn name="Column1" id="1"/>
    <tableColumn name="Column2" id="2"/>
    <tableColumn name="Column3" id="3"/>
  </tableColumns>
  <tableStyleInfo name="8°B-style 13" showColumnStripes="0" showFirstColumn="1" showLastColumn="1" showRowStripes="1"/>
</table>
</file>

<file path=xl/tables/table116.xml><?xml version="1.0" encoding="utf-8"?>
<table xmlns="http://schemas.openxmlformats.org/spreadsheetml/2006/main" headerRowCount="0" ref="B15:D15" displayName="Table_116" name="Table_116" id="116">
  <tableColumns count="3">
    <tableColumn name="Column1" id="1"/>
    <tableColumn name="Column2" id="2"/>
    <tableColumn name="Column3" id="3"/>
  </tableColumns>
  <tableStyleInfo name="8°B-style 14" showColumnStripes="0" showFirstColumn="1" showLastColumn="1" showRowStripes="1"/>
</table>
</file>

<file path=xl/tables/table117.xml><?xml version="1.0" encoding="utf-8"?>
<table xmlns="http://schemas.openxmlformats.org/spreadsheetml/2006/main" headerRowCount="0" ref="B17:H17" displayName="Table_117" name="Table_117" id="1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8°B-style 15" showColumnStripes="0" showFirstColumn="1" showLastColumn="1" showRowStripes="1"/>
</table>
</file>

<file path=xl/tables/table118.xml><?xml version="1.0" encoding="utf-8"?>
<table xmlns="http://schemas.openxmlformats.org/spreadsheetml/2006/main" headerRowCount="0" ref="I17:J21" displayName="Table_118" name="Table_118" id="118">
  <tableColumns count="2">
    <tableColumn name="Column1" id="1"/>
    <tableColumn name="Column2" id="2"/>
  </tableColumns>
  <tableStyleInfo name="8°B-style 16" showColumnStripes="0" showFirstColumn="1" showLastColumn="1" showRowStripes="1"/>
</table>
</file>

<file path=xl/tables/table119.xml><?xml version="1.0" encoding="utf-8"?>
<table xmlns="http://schemas.openxmlformats.org/spreadsheetml/2006/main" headerRowCount="0" ref="BG17" displayName="Table_119" name="Table_119" id="119">
  <tableColumns count="1">
    <tableColumn name="Column1" id="1"/>
  </tableColumns>
  <tableStyleInfo name="8°B-style 17" showColumnStripes="0" showFirstColumn="1" showLastColumn="1" showRowStripes="1"/>
</table>
</file>

<file path=xl/tables/table120.xml><?xml version="1.0" encoding="utf-8"?>
<table xmlns="http://schemas.openxmlformats.org/spreadsheetml/2006/main" headerRowCount="0" ref="B18:D18" displayName="Table_120" name="Table_120" id="120">
  <tableColumns count="3">
    <tableColumn name="Column1" id="1"/>
    <tableColumn name="Column2" id="2"/>
    <tableColumn name="Column3" id="3"/>
  </tableColumns>
  <tableStyleInfo name="8°B-style 18" showColumnStripes="0" showFirstColumn="1" showLastColumn="1" showRowStripes="1"/>
</table>
</file>

<file path=xl/tables/table121.xml><?xml version="1.0" encoding="utf-8"?>
<table xmlns="http://schemas.openxmlformats.org/spreadsheetml/2006/main" headerRowCount="0" ref="H18:H31" displayName="Table_121" name="Table_121" id="121">
  <tableColumns count="1">
    <tableColumn name="Column1" id="1"/>
  </tableColumns>
  <tableStyleInfo name="8°B-style 19" showColumnStripes="0" showFirstColumn="1" showLastColumn="1" showRowStripes="1"/>
</table>
</file>

<file path=xl/tables/table122.xml><?xml version="1.0" encoding="utf-8"?>
<table xmlns="http://schemas.openxmlformats.org/spreadsheetml/2006/main" headerRowCount="0" ref="B19:D19" displayName="Table_122" name="Table_122" id="122">
  <tableColumns count="3">
    <tableColumn name="Column1" id="1"/>
    <tableColumn name="Column2" id="2"/>
    <tableColumn name="Column3" id="3"/>
  </tableColumns>
  <tableStyleInfo name="8°B-style 20" showColumnStripes="0" showFirstColumn="1" showLastColumn="1" showRowStripes="1"/>
</table>
</file>

<file path=xl/tables/table123.xml><?xml version="1.0" encoding="utf-8"?>
<table xmlns="http://schemas.openxmlformats.org/spreadsheetml/2006/main" headerRowCount="0" ref="E20:F35" displayName="Table_123" name="Table_123" id="123">
  <tableColumns count="2">
    <tableColumn name="Column1" id="1"/>
    <tableColumn name="Column2" id="2"/>
  </tableColumns>
  <tableStyleInfo name="8°B-style 21" showColumnStripes="0" showFirstColumn="1" showLastColumn="1" showRowStripes="1"/>
</table>
</file>

<file path=xl/tables/table124.xml><?xml version="1.0" encoding="utf-8"?>
<table xmlns="http://schemas.openxmlformats.org/spreadsheetml/2006/main" headerRowCount="0" ref="BG22" displayName="Table_124" name="Table_124" id="124">
  <tableColumns count="1">
    <tableColumn name="Column1" id="1"/>
  </tableColumns>
  <tableStyleInfo name="8°B-style 22" showColumnStripes="0" showFirstColumn="1" showLastColumn="1" showRowStripes="1"/>
</table>
</file>

<file path=xl/tables/table125.xml><?xml version="1.0" encoding="utf-8"?>
<table xmlns="http://schemas.openxmlformats.org/spreadsheetml/2006/main" headerRowCount="0" ref="I23:J26" displayName="Table_125" name="Table_125" id="125">
  <tableColumns count="2">
    <tableColumn name="Column1" id="1"/>
    <tableColumn name="Column2" id="2"/>
  </tableColumns>
  <tableStyleInfo name="8°B-style 23" showColumnStripes="0" showFirstColumn="1" showLastColumn="1" showRowStripes="1"/>
</table>
</file>

<file path=xl/tables/table126.xml><?xml version="1.0" encoding="utf-8"?>
<table xmlns="http://schemas.openxmlformats.org/spreadsheetml/2006/main" headerRowCount="0" ref="B25:D35" displayName="Table_126" name="Table_126" id="126">
  <tableColumns count="3">
    <tableColumn name="Column1" id="1"/>
    <tableColumn name="Column2" id="2"/>
    <tableColumn name="Column3" id="3"/>
  </tableColumns>
  <tableStyleInfo name="8°B-style 24" showColumnStripes="0" showFirstColumn="1" showLastColumn="1" showRowStripes="1"/>
</table>
</file>

<file path=xl/tables/table127.xml><?xml version="1.0" encoding="utf-8"?>
<table xmlns="http://schemas.openxmlformats.org/spreadsheetml/2006/main" headerRowCount="0" ref="BG25" displayName="Table_127" name="Table_127" id="127">
  <tableColumns count="1">
    <tableColumn name="Column1" id="1"/>
  </tableColumns>
  <tableStyleInfo name="8°B-style 25" showColumnStripes="0" showFirstColumn="1" showLastColumn="1" showRowStripes="1"/>
</table>
</file>

<file path=xl/tables/table128.xml><?xml version="1.0" encoding="utf-8"?>
<table xmlns="http://schemas.openxmlformats.org/spreadsheetml/2006/main" headerRowCount="0" ref="BG26" displayName="Table_128" name="Table_128" id="128">
  <tableColumns count="1">
    <tableColumn name="Column1" id="1"/>
  </tableColumns>
  <tableStyleInfo name="8°B-style 26" showColumnStripes="0" showFirstColumn="1" showLastColumn="1" showRowStripes="1"/>
</table>
</file>

<file path=xl/tables/table129.xml><?xml version="1.0" encoding="utf-8"?>
<table xmlns="http://schemas.openxmlformats.org/spreadsheetml/2006/main" headerRowCount="0" ref="J28:N30" displayName="Table_129" name="Table_129" id="129">
  <tableColumns count="5">
    <tableColumn name="Column1" id="1"/>
    <tableColumn name="Column2" id="2"/>
    <tableColumn name="Column3" id="3"/>
    <tableColumn name="Column4" id="4"/>
    <tableColumn name="Column5" id="5"/>
  </tableColumns>
  <tableStyleInfo name="8°B-style 27" showColumnStripes="0" showFirstColumn="1" showLastColumn="1" showRowStripes="1"/>
</table>
</file>

<file path=xl/tables/table130.xml><?xml version="1.0" encoding="utf-8"?>
<table xmlns="http://schemas.openxmlformats.org/spreadsheetml/2006/main" headerRowCount="0" ref="H32:I35" displayName="Table_130" name="Table_130" id="130">
  <tableColumns count="2">
    <tableColumn name="Column1" id="1"/>
    <tableColumn name="Column2" id="2"/>
  </tableColumns>
  <tableStyleInfo name="8°B-style 28" showColumnStripes="0" showFirstColumn="1" showLastColumn="1" showRowStripes="1"/>
</table>
</file>

<file path=xl/tables/table131.xml><?xml version="1.0" encoding="utf-8"?>
<table xmlns="http://schemas.openxmlformats.org/spreadsheetml/2006/main" headerRowCount="0" ref="J32:N35" displayName="Table_131" name="Table_131" id="131">
  <tableColumns count="5">
    <tableColumn name="Column1" id="1"/>
    <tableColumn name="Column2" id="2"/>
    <tableColumn name="Column3" id="3"/>
    <tableColumn name="Column4" id="4"/>
    <tableColumn name="Column5" id="5"/>
  </tableColumns>
  <tableStyleInfo name="8°B-style 29" showColumnStripes="0" showFirstColumn="1" showLastColumn="1" showRowStripes="1"/>
</table>
</file>

<file path=xl/tables/table132.xml><?xml version="1.0" encoding="utf-8"?>
<table xmlns="http://schemas.openxmlformats.org/spreadsheetml/2006/main" headerRowCount="0" ref="B5:D5" displayName="Table_132" name="Table_132" id="132">
  <tableColumns count="3">
    <tableColumn name="Column1" id="1"/>
    <tableColumn name="Column2" id="2"/>
    <tableColumn name="Column3" id="3"/>
  </tableColumns>
  <tableStyleInfo name="8°C-style" showColumnStripes="0" showFirstColumn="1" showLastColumn="1" showRowStripes="1"/>
</table>
</file>

<file path=xl/tables/table133.xml><?xml version="1.0" encoding="utf-8"?>
<table xmlns="http://schemas.openxmlformats.org/spreadsheetml/2006/main" headerRowCount="0" ref="H5:W5" displayName="Table_133" name="Table_133" id="13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8°C-style 2" showColumnStripes="0" showFirstColumn="1" showLastColumn="1" showRowStripes="1"/>
</table>
</file>

<file path=xl/tables/table134.xml><?xml version="1.0" encoding="utf-8"?>
<table xmlns="http://schemas.openxmlformats.org/spreadsheetml/2006/main" headerRowCount="0" ref="AD5:AG5" displayName="Table_134" name="Table_134" id="134">
  <tableColumns count="4">
    <tableColumn name="Column1" id="1"/>
    <tableColumn name="Column2" id="2"/>
    <tableColumn name="Column3" id="3"/>
    <tableColumn name="Column4" id="4"/>
  </tableColumns>
  <tableStyleInfo name="8°C-style 3" showColumnStripes="0" showFirstColumn="1" showLastColumn="1" showRowStripes="1"/>
</table>
</file>

<file path=xl/tables/table135.xml><?xml version="1.0" encoding="utf-8"?>
<table xmlns="http://schemas.openxmlformats.org/spreadsheetml/2006/main" headerRowCount="0" ref="AI5:AR5" displayName="Table_135" name="Table_135" id="13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8°C-style 4" showColumnStripes="0" showFirstColumn="1" showLastColumn="1" showRowStripes="1"/>
</table>
</file>

<file path=xl/tables/table136.xml><?xml version="1.0" encoding="utf-8"?>
<table xmlns="http://schemas.openxmlformats.org/spreadsheetml/2006/main" headerRowCount="0" ref="AT5:AU5" displayName="Table_136" name="Table_136" id="136">
  <tableColumns count="2">
    <tableColumn name="Column1" id="1"/>
    <tableColumn name="Column2" id="2"/>
  </tableColumns>
  <tableStyleInfo name="8°C-style 5" showColumnStripes="0" showFirstColumn="1" showLastColumn="1" showRowStripes="1"/>
</table>
</file>

<file path=xl/tables/table137.xml><?xml version="1.0" encoding="utf-8"?>
<table xmlns="http://schemas.openxmlformats.org/spreadsheetml/2006/main" headerRowCount="0" ref="BD5:BF5" displayName="Table_137" name="Table_137" id="137">
  <tableColumns count="3">
    <tableColumn name="Column1" id="1"/>
    <tableColumn name="Column2" id="2"/>
    <tableColumn name="Column3" id="3"/>
  </tableColumns>
  <tableStyleInfo name="8°C-style 6" showColumnStripes="0" showFirstColumn="1" showLastColumn="1" showRowStripes="1"/>
</table>
</file>

<file path=xl/tables/table138.xml><?xml version="1.0" encoding="utf-8"?>
<table xmlns="http://schemas.openxmlformats.org/spreadsheetml/2006/main" headerRowCount="0" ref="BG5:BW5" displayName="Table_138" name="Table_138" id="138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8°C-style 7" showColumnStripes="0" showFirstColumn="1" showLastColumn="1" showRowStripes="1"/>
</table>
</file>

<file path=xl/tables/table139.xml><?xml version="1.0" encoding="utf-8"?>
<table xmlns="http://schemas.openxmlformats.org/spreadsheetml/2006/main" headerRowCount="0" ref="AQ6:AR6" displayName="Table_139" name="Table_139" id="139">
  <tableColumns count="2">
    <tableColumn name="Column1" id="1"/>
    <tableColumn name="Column2" id="2"/>
  </tableColumns>
  <tableStyleInfo name="8°C-style 8" showColumnStripes="0" showFirstColumn="1" showLastColumn="1" showRowStripes="1"/>
</table>
</file>

<file path=xl/tables/table140.xml><?xml version="1.0" encoding="utf-8"?>
<table xmlns="http://schemas.openxmlformats.org/spreadsheetml/2006/main" headerRowCount="0" ref="BG6:BW6" displayName="Table_140" name="Table_140" id="14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8°C-style 9" showColumnStripes="0" showFirstColumn="1" showLastColumn="1" showRowStripes="1"/>
</table>
</file>

<file path=xl/tables/table141.xml><?xml version="1.0" encoding="utf-8"?>
<table xmlns="http://schemas.openxmlformats.org/spreadsheetml/2006/main" headerRowCount="0" ref="B7:W7" displayName="Table_141" name="Table_141" id="141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8°C-style 10" showColumnStripes="0" showFirstColumn="1" showLastColumn="1" showRowStripes="1"/>
</table>
</file>

<file path=xl/tables/table142.xml><?xml version="1.0" encoding="utf-8"?>
<table xmlns="http://schemas.openxmlformats.org/spreadsheetml/2006/main" headerRowCount="0" ref="AD7:AG7" displayName="Table_142" name="Table_142" id="142">
  <tableColumns count="4">
    <tableColumn name="Column1" id="1"/>
    <tableColumn name="Column2" id="2"/>
    <tableColumn name="Column3" id="3"/>
    <tableColumn name="Column4" id="4"/>
  </tableColumns>
  <tableStyleInfo name="8°C-style 11" showColumnStripes="0" showFirstColumn="1" showLastColumn="1" showRowStripes="1"/>
</table>
</file>

<file path=xl/tables/table143.xml><?xml version="1.0" encoding="utf-8"?>
<table xmlns="http://schemas.openxmlformats.org/spreadsheetml/2006/main" headerRowCount="0" ref="AI7:AR7" displayName="Table_143" name="Table_143" id="14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8°C-style 12" showColumnStripes="0" showFirstColumn="1" showLastColumn="1" showRowStripes="1"/>
</table>
</file>

<file path=xl/tables/table144.xml><?xml version="1.0" encoding="utf-8"?>
<table xmlns="http://schemas.openxmlformats.org/spreadsheetml/2006/main" headerRowCount="0" ref="AT7:AU7" displayName="Table_144" name="Table_144" id="144">
  <tableColumns count="2">
    <tableColumn name="Column1" id="1"/>
    <tableColumn name="Column2" id="2"/>
  </tableColumns>
  <tableStyleInfo name="8°C-style 13" showColumnStripes="0" showFirstColumn="1" showLastColumn="1" showRowStripes="1"/>
</table>
</file>

<file path=xl/tables/table145.xml><?xml version="1.0" encoding="utf-8"?>
<table xmlns="http://schemas.openxmlformats.org/spreadsheetml/2006/main" headerRowCount="0" ref="BD7:BF7" displayName="Table_145" name="Table_145" id="145">
  <tableColumns count="3">
    <tableColumn name="Column1" id="1"/>
    <tableColumn name="Column2" id="2"/>
    <tableColumn name="Column3" id="3"/>
  </tableColumns>
  <tableStyleInfo name="8°C-style 14" showColumnStripes="0" showFirstColumn="1" showLastColumn="1" showRowStripes="1"/>
</table>
</file>

<file path=xl/tables/table146.xml><?xml version="1.0" encoding="utf-8"?>
<table xmlns="http://schemas.openxmlformats.org/spreadsheetml/2006/main" headerRowCount="0" ref="BG7:BW7" displayName="Table_146" name="Table_146" id="146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8°C-style 15" showColumnStripes="0" showFirstColumn="1" showLastColumn="1" showRowStripes="1"/>
</table>
</file>

<file path=xl/tables/table147.xml><?xml version="1.0" encoding="utf-8"?>
<table xmlns="http://schemas.openxmlformats.org/spreadsheetml/2006/main" headerRowCount="0" ref="B8:D8" displayName="Table_147" name="Table_147" id="147">
  <tableColumns count="3">
    <tableColumn name="Column1" id="1"/>
    <tableColumn name="Column2" id="2"/>
    <tableColumn name="Column3" id="3"/>
  </tableColumns>
  <tableStyleInfo name="8°C-style 16" showColumnStripes="0" showFirstColumn="1" showLastColumn="1" showRowStripes="1"/>
</table>
</file>

<file path=xl/tables/table148.xml><?xml version="1.0" encoding="utf-8"?>
<table xmlns="http://schemas.openxmlformats.org/spreadsheetml/2006/main" headerRowCount="0" ref="H8:W8" displayName="Table_148" name="Table_148" id="148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8°C-style 17" showColumnStripes="0" showFirstColumn="1" showLastColumn="1" showRowStripes="1"/>
</table>
</file>

<file path=xl/tables/table149.xml><?xml version="1.0" encoding="utf-8"?>
<table xmlns="http://schemas.openxmlformats.org/spreadsheetml/2006/main" headerRowCount="0" ref="AD8:AG8" displayName="Table_149" name="Table_149" id="149">
  <tableColumns count="4">
    <tableColumn name="Column1" id="1"/>
    <tableColumn name="Column2" id="2"/>
    <tableColumn name="Column3" id="3"/>
    <tableColumn name="Column4" id="4"/>
  </tableColumns>
  <tableStyleInfo name="8°C-style 18" showColumnStripes="0" showFirstColumn="1" showLastColumn="1" showRowStripes="1"/>
</table>
</file>

<file path=xl/tables/table150.xml><?xml version="1.0" encoding="utf-8"?>
<table xmlns="http://schemas.openxmlformats.org/spreadsheetml/2006/main" headerRowCount="0" ref="AI8:AR8" displayName="Table_150" name="Table_150" id="15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8°C-style 19" showColumnStripes="0" showFirstColumn="1" showLastColumn="1" showRowStripes="1"/>
</table>
</file>

<file path=xl/tables/table151.xml><?xml version="1.0" encoding="utf-8"?>
<table xmlns="http://schemas.openxmlformats.org/spreadsheetml/2006/main" headerRowCount="0" ref="AT8:AU8" displayName="Table_151" name="Table_151" id="151">
  <tableColumns count="2">
    <tableColumn name="Column1" id="1"/>
    <tableColumn name="Column2" id="2"/>
  </tableColumns>
  <tableStyleInfo name="8°C-style 20" showColumnStripes="0" showFirstColumn="1" showLastColumn="1" showRowStripes="1"/>
</table>
</file>

<file path=xl/tables/table152.xml><?xml version="1.0" encoding="utf-8"?>
<table xmlns="http://schemas.openxmlformats.org/spreadsheetml/2006/main" headerRowCount="0" ref="BD8:BF8" displayName="Table_152" name="Table_152" id="152">
  <tableColumns count="3">
    <tableColumn name="Column1" id="1"/>
    <tableColumn name="Column2" id="2"/>
    <tableColumn name="Column3" id="3"/>
  </tableColumns>
  <tableStyleInfo name="8°C-style 21" showColumnStripes="0" showFirstColumn="1" showLastColumn="1" showRowStripes="1"/>
</table>
</file>

<file path=xl/tables/table153.xml><?xml version="1.0" encoding="utf-8"?>
<table xmlns="http://schemas.openxmlformats.org/spreadsheetml/2006/main" headerRowCount="0" ref="BG8:BW8" displayName="Table_153" name="Table_153" id="153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8°C-style 22" showColumnStripes="0" showFirstColumn="1" showLastColumn="1" showRowStripes="1"/>
</table>
</file>

<file path=xl/tables/table154.xml><?xml version="1.0" encoding="utf-8"?>
<table xmlns="http://schemas.openxmlformats.org/spreadsheetml/2006/main" headerRowCount="0" ref="B9:D9" displayName="Table_154" name="Table_154" id="154">
  <tableColumns count="3">
    <tableColumn name="Column1" id="1"/>
    <tableColumn name="Column2" id="2"/>
    <tableColumn name="Column3" id="3"/>
  </tableColumns>
  <tableStyleInfo name="8°C-style 23" showColumnStripes="0" showFirstColumn="1" showLastColumn="1" showRowStripes="1"/>
</table>
</file>

<file path=xl/tables/table155.xml><?xml version="1.0" encoding="utf-8"?>
<table xmlns="http://schemas.openxmlformats.org/spreadsheetml/2006/main" headerRowCount="0" ref="H9:W9" displayName="Table_155" name="Table_155" id="15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8°C-style 24" showColumnStripes="0" showFirstColumn="1" showLastColumn="1" showRowStripes="1"/>
</table>
</file>

<file path=xl/tables/table156.xml><?xml version="1.0" encoding="utf-8"?>
<table xmlns="http://schemas.openxmlformats.org/spreadsheetml/2006/main" headerRowCount="0" ref="AD9:AG9" displayName="Table_156" name="Table_156" id="156">
  <tableColumns count="4">
    <tableColumn name="Column1" id="1"/>
    <tableColumn name="Column2" id="2"/>
    <tableColumn name="Column3" id="3"/>
    <tableColumn name="Column4" id="4"/>
  </tableColumns>
  <tableStyleInfo name="8°C-style 25" showColumnStripes="0" showFirstColumn="1" showLastColumn="1" showRowStripes="1"/>
</table>
</file>

<file path=xl/tables/table157.xml><?xml version="1.0" encoding="utf-8"?>
<table xmlns="http://schemas.openxmlformats.org/spreadsheetml/2006/main" headerRowCount="0" ref="AI9:AR9" displayName="Table_157" name="Table_157" id="15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8°C-style 26" showColumnStripes="0" showFirstColumn="1" showLastColumn="1" showRowStripes="1"/>
</table>
</file>

<file path=xl/tables/table158.xml><?xml version="1.0" encoding="utf-8"?>
<table xmlns="http://schemas.openxmlformats.org/spreadsheetml/2006/main" headerRowCount="0" ref="AT9:AU9" displayName="Table_158" name="Table_158" id="158">
  <tableColumns count="2">
    <tableColumn name="Column1" id="1"/>
    <tableColumn name="Column2" id="2"/>
  </tableColumns>
  <tableStyleInfo name="8°C-style 27" showColumnStripes="0" showFirstColumn="1" showLastColumn="1" showRowStripes="1"/>
</table>
</file>

<file path=xl/tables/table159.xml><?xml version="1.0" encoding="utf-8"?>
<table xmlns="http://schemas.openxmlformats.org/spreadsheetml/2006/main" headerRowCount="0" ref="BD9:BF9" displayName="Table_159" name="Table_159" id="159">
  <tableColumns count="3">
    <tableColumn name="Column1" id="1"/>
    <tableColumn name="Column2" id="2"/>
    <tableColumn name="Column3" id="3"/>
  </tableColumns>
  <tableStyleInfo name="8°C-style 28" showColumnStripes="0" showFirstColumn="1" showLastColumn="1" showRowStripes="1"/>
</table>
</file>

<file path=xl/tables/table160.xml><?xml version="1.0" encoding="utf-8"?>
<table xmlns="http://schemas.openxmlformats.org/spreadsheetml/2006/main" headerRowCount="0" ref="BG9:BW9" displayName="Table_160" name="Table_160" id="16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8°C-style 29" showColumnStripes="0" showFirstColumn="1" showLastColumn="1" showRowStripes="1"/>
</table>
</file>

<file path=xl/tables/table161.xml><?xml version="1.0" encoding="utf-8"?>
<table xmlns="http://schemas.openxmlformats.org/spreadsheetml/2006/main" headerRowCount="0" ref="B10:D10" displayName="Table_161" name="Table_161" id="161">
  <tableColumns count="3">
    <tableColumn name="Column1" id="1"/>
    <tableColumn name="Column2" id="2"/>
    <tableColumn name="Column3" id="3"/>
  </tableColumns>
  <tableStyleInfo name="8°C-style 30" showColumnStripes="0" showFirstColumn="1" showLastColumn="1" showRowStripes="1"/>
</table>
</file>

<file path=xl/tables/table162.xml><?xml version="1.0" encoding="utf-8"?>
<table xmlns="http://schemas.openxmlformats.org/spreadsheetml/2006/main" headerRowCount="0" ref="H10:W10" displayName="Table_162" name="Table_162" id="16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8°C-style 31" showColumnStripes="0" showFirstColumn="1" showLastColumn="1" showRowStripes="1"/>
</table>
</file>

<file path=xl/tables/table163.xml><?xml version="1.0" encoding="utf-8"?>
<table xmlns="http://schemas.openxmlformats.org/spreadsheetml/2006/main" headerRowCount="0" ref="AD10:AG10" displayName="Table_163" name="Table_163" id="163">
  <tableColumns count="4">
    <tableColumn name="Column1" id="1"/>
    <tableColumn name="Column2" id="2"/>
    <tableColumn name="Column3" id="3"/>
    <tableColumn name="Column4" id="4"/>
  </tableColumns>
  <tableStyleInfo name="8°C-style 32" showColumnStripes="0" showFirstColumn="1" showLastColumn="1" showRowStripes="1"/>
</table>
</file>

<file path=xl/tables/table164.xml><?xml version="1.0" encoding="utf-8"?>
<table xmlns="http://schemas.openxmlformats.org/spreadsheetml/2006/main" headerRowCount="0" ref="AI10:AR10" displayName="Table_164" name="Table_164" id="16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8°C-style 33" showColumnStripes="0" showFirstColumn="1" showLastColumn="1" showRowStripes="1"/>
</table>
</file>

<file path=xl/tables/table165.xml><?xml version="1.0" encoding="utf-8"?>
<table xmlns="http://schemas.openxmlformats.org/spreadsheetml/2006/main" headerRowCount="0" ref="AT10:AU10" displayName="Table_165" name="Table_165" id="165">
  <tableColumns count="2">
    <tableColumn name="Column1" id="1"/>
    <tableColumn name="Column2" id="2"/>
  </tableColumns>
  <tableStyleInfo name="8°C-style 34" showColumnStripes="0" showFirstColumn="1" showLastColumn="1" showRowStripes="1"/>
</table>
</file>

<file path=xl/tables/table166.xml><?xml version="1.0" encoding="utf-8"?>
<table xmlns="http://schemas.openxmlformats.org/spreadsheetml/2006/main" headerRowCount="0" ref="BD10:BF10" displayName="Table_166" name="Table_166" id="166">
  <tableColumns count="3">
    <tableColumn name="Column1" id="1"/>
    <tableColumn name="Column2" id="2"/>
    <tableColumn name="Column3" id="3"/>
  </tableColumns>
  <tableStyleInfo name="8°C-style 35" showColumnStripes="0" showFirstColumn="1" showLastColumn="1" showRowStripes="1"/>
</table>
</file>

<file path=xl/tables/table167.xml><?xml version="1.0" encoding="utf-8"?>
<table xmlns="http://schemas.openxmlformats.org/spreadsheetml/2006/main" headerRowCount="0" ref="BG10:BW10" displayName="Table_167" name="Table_167" id="167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8°C-style 36" showColumnStripes="0" showFirstColumn="1" showLastColumn="1" showRowStripes="1"/>
</table>
</file>

<file path=xl/tables/table168.xml><?xml version="1.0" encoding="utf-8"?>
<table xmlns="http://schemas.openxmlformats.org/spreadsheetml/2006/main" headerRowCount="0" ref="B11:D11" displayName="Table_168" name="Table_168" id="168">
  <tableColumns count="3">
    <tableColumn name="Column1" id="1"/>
    <tableColumn name="Column2" id="2"/>
    <tableColumn name="Column3" id="3"/>
  </tableColumns>
  <tableStyleInfo name="8°C-style 37" showColumnStripes="0" showFirstColumn="1" showLastColumn="1" showRowStripes="1"/>
</table>
</file>

<file path=xl/tables/table169.xml><?xml version="1.0" encoding="utf-8"?>
<table xmlns="http://schemas.openxmlformats.org/spreadsheetml/2006/main" headerRowCount="0" ref="H11:W11" displayName="Table_169" name="Table_169" id="169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8°C-style 38" showColumnStripes="0" showFirstColumn="1" showLastColumn="1" showRowStripes="1"/>
</table>
</file>

<file path=xl/tables/table170.xml><?xml version="1.0" encoding="utf-8"?>
<table xmlns="http://schemas.openxmlformats.org/spreadsheetml/2006/main" headerRowCount="0" ref="AD11:AG11" displayName="Table_170" name="Table_170" id="170">
  <tableColumns count="4">
    <tableColumn name="Column1" id="1"/>
    <tableColumn name="Column2" id="2"/>
    <tableColumn name="Column3" id="3"/>
    <tableColumn name="Column4" id="4"/>
  </tableColumns>
  <tableStyleInfo name="8°C-style 39" showColumnStripes="0" showFirstColumn="1" showLastColumn="1" showRowStripes="1"/>
</table>
</file>

<file path=xl/tables/table171.xml><?xml version="1.0" encoding="utf-8"?>
<table xmlns="http://schemas.openxmlformats.org/spreadsheetml/2006/main" headerRowCount="0" ref="AI11:AR11" displayName="Table_171" name="Table_171" id="17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8°C-style 40" showColumnStripes="0" showFirstColumn="1" showLastColumn="1" showRowStripes="1"/>
</table>
</file>

<file path=xl/tables/table172.xml><?xml version="1.0" encoding="utf-8"?>
<table xmlns="http://schemas.openxmlformats.org/spreadsheetml/2006/main" headerRowCount="0" ref="AT11:AU11" displayName="Table_172" name="Table_172" id="172">
  <tableColumns count="2">
    <tableColumn name="Column1" id="1"/>
    <tableColumn name="Column2" id="2"/>
  </tableColumns>
  <tableStyleInfo name="8°C-style 41" showColumnStripes="0" showFirstColumn="1" showLastColumn="1" showRowStripes="1"/>
</table>
</file>

<file path=xl/tables/table173.xml><?xml version="1.0" encoding="utf-8"?>
<table xmlns="http://schemas.openxmlformats.org/spreadsheetml/2006/main" headerRowCount="0" ref="BD11:BF11" displayName="Table_173" name="Table_173" id="173">
  <tableColumns count="3">
    <tableColumn name="Column1" id="1"/>
    <tableColumn name="Column2" id="2"/>
    <tableColumn name="Column3" id="3"/>
  </tableColumns>
  <tableStyleInfo name="8°C-style 42" showColumnStripes="0" showFirstColumn="1" showLastColumn="1" showRowStripes="1"/>
</table>
</file>

<file path=xl/tables/table174.xml><?xml version="1.0" encoding="utf-8"?>
<table xmlns="http://schemas.openxmlformats.org/spreadsheetml/2006/main" headerRowCount="0" ref="BG11:BW11" displayName="Table_174" name="Table_174" id="174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8°C-style 43" showColumnStripes="0" showFirstColumn="1" showLastColumn="1" showRowStripes="1"/>
</table>
</file>

<file path=xl/tables/table175.xml><?xml version="1.0" encoding="utf-8"?>
<table xmlns="http://schemas.openxmlformats.org/spreadsheetml/2006/main" headerRowCount="0" ref="BG12:BW12" displayName="Table_175" name="Table_175" id="175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8°C-style 44" showColumnStripes="0" showFirstColumn="1" showLastColumn="1" showRowStripes="1"/>
</table>
</file>

<file path=xl/tables/table176.xml><?xml version="1.0" encoding="utf-8"?>
<table xmlns="http://schemas.openxmlformats.org/spreadsheetml/2006/main" headerRowCount="0" ref="S13:W13" displayName="Table_176" name="Table_176" id="176">
  <tableColumns count="5">
    <tableColumn name="Column1" id="1"/>
    <tableColumn name="Column2" id="2"/>
    <tableColumn name="Column3" id="3"/>
    <tableColumn name="Column4" id="4"/>
    <tableColumn name="Column5" id="5"/>
  </tableColumns>
  <tableStyleInfo name="8°C-style 45" showColumnStripes="0" showFirstColumn="1" showLastColumn="1" showRowStripes="1"/>
</table>
</file>

<file path=xl/tables/table177.xml><?xml version="1.0" encoding="utf-8"?>
<table xmlns="http://schemas.openxmlformats.org/spreadsheetml/2006/main" headerRowCount="0" ref="AD13:AG13" displayName="Table_177" name="Table_177" id="177">
  <tableColumns count="4">
    <tableColumn name="Column1" id="1"/>
    <tableColumn name="Column2" id="2"/>
    <tableColumn name="Column3" id="3"/>
    <tableColumn name="Column4" id="4"/>
  </tableColumns>
  <tableStyleInfo name="8°C-style 46" showColumnStripes="0" showFirstColumn="1" showLastColumn="1" showRowStripes="1"/>
</table>
</file>

<file path=xl/tables/table178.xml><?xml version="1.0" encoding="utf-8"?>
<table xmlns="http://schemas.openxmlformats.org/spreadsheetml/2006/main" headerRowCount="0" ref="AI13:AR13" displayName="Table_178" name="Table_178" id="17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8°C-style 47" showColumnStripes="0" showFirstColumn="1" showLastColumn="1" showRowStripes="1"/>
</table>
</file>

<file path=xl/tables/table179.xml><?xml version="1.0" encoding="utf-8"?>
<table xmlns="http://schemas.openxmlformats.org/spreadsheetml/2006/main" headerRowCount="0" ref="AT13:AU13" displayName="Table_179" name="Table_179" id="179">
  <tableColumns count="2">
    <tableColumn name="Column1" id="1"/>
    <tableColumn name="Column2" id="2"/>
  </tableColumns>
  <tableStyleInfo name="8°C-style 48" showColumnStripes="0" showFirstColumn="1" showLastColumn="1" showRowStripes="1"/>
</table>
</file>

<file path=xl/tables/table180.xml><?xml version="1.0" encoding="utf-8"?>
<table xmlns="http://schemas.openxmlformats.org/spreadsheetml/2006/main" headerRowCount="0" ref="BD13:BF13" displayName="Table_180" name="Table_180" id="180">
  <tableColumns count="3">
    <tableColumn name="Column1" id="1"/>
    <tableColumn name="Column2" id="2"/>
    <tableColumn name="Column3" id="3"/>
  </tableColumns>
  <tableStyleInfo name="8°C-style 49" showColumnStripes="0" showFirstColumn="1" showLastColumn="1" showRowStripes="1"/>
</table>
</file>

<file path=xl/tables/table181.xml><?xml version="1.0" encoding="utf-8"?>
<table xmlns="http://schemas.openxmlformats.org/spreadsheetml/2006/main" headerRowCount="0" ref="BG13:BW13" displayName="Table_181" name="Table_181" id="18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8°C-style 50" showColumnStripes="0" showFirstColumn="1" showLastColumn="1" showRowStripes="1"/>
</table>
</file>

<file path=xl/tables/table182.xml><?xml version="1.0" encoding="utf-8"?>
<table xmlns="http://schemas.openxmlformats.org/spreadsheetml/2006/main" headerRowCount="0" ref="B14:D14" displayName="Table_182" name="Table_182" id="182">
  <tableColumns count="3">
    <tableColumn name="Column1" id="1"/>
    <tableColumn name="Column2" id="2"/>
    <tableColumn name="Column3" id="3"/>
  </tableColumns>
  <tableStyleInfo name="8°C-style 51" showColumnStripes="0" showFirstColumn="1" showLastColumn="1" showRowStripes="1"/>
</table>
</file>

<file path=xl/tables/table183.xml><?xml version="1.0" encoding="utf-8"?>
<table xmlns="http://schemas.openxmlformats.org/spreadsheetml/2006/main" headerRowCount="0" ref="H14:W14" displayName="Table_183" name="Table_183" id="18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8°C-style 52" showColumnStripes="0" showFirstColumn="1" showLastColumn="1" showRowStripes="1"/>
</table>
</file>

<file path=xl/tables/table184.xml><?xml version="1.0" encoding="utf-8"?>
<table xmlns="http://schemas.openxmlformats.org/spreadsheetml/2006/main" headerRowCount="0" ref="AD14:AG14" displayName="Table_184" name="Table_184" id="184">
  <tableColumns count="4">
    <tableColumn name="Column1" id="1"/>
    <tableColumn name="Column2" id="2"/>
    <tableColumn name="Column3" id="3"/>
    <tableColumn name="Column4" id="4"/>
  </tableColumns>
  <tableStyleInfo name="8°C-style 53" showColumnStripes="0" showFirstColumn="1" showLastColumn="1" showRowStripes="1"/>
</table>
</file>

<file path=xl/tables/table185.xml><?xml version="1.0" encoding="utf-8"?>
<table xmlns="http://schemas.openxmlformats.org/spreadsheetml/2006/main" headerRowCount="0" ref="AI14:AL14" displayName="Table_185" name="Table_185" id="185">
  <tableColumns count="4">
    <tableColumn name="Column1" id="1"/>
    <tableColumn name="Column2" id="2"/>
    <tableColumn name="Column3" id="3"/>
    <tableColumn name="Column4" id="4"/>
  </tableColumns>
  <tableStyleInfo name="8°C-style 54" showColumnStripes="0" showFirstColumn="1" showLastColumn="1" showRowStripes="1"/>
</table>
</file>

<file path=xl/tables/table186.xml><?xml version="1.0" encoding="utf-8"?>
<table xmlns="http://schemas.openxmlformats.org/spreadsheetml/2006/main" headerRowCount="0" ref="AM14" displayName="Table_186" name="Table_186" id="186">
  <tableColumns count="1">
    <tableColumn name="Column1" id="1"/>
  </tableColumns>
  <tableStyleInfo name="8°C-style 55" showColumnStripes="0" showFirstColumn="1" showLastColumn="1" showRowStripes="1"/>
</table>
</file>

<file path=xl/tables/table187.xml><?xml version="1.0" encoding="utf-8"?>
<table xmlns="http://schemas.openxmlformats.org/spreadsheetml/2006/main" headerRowCount="0" ref="AN14" displayName="Table_187" name="Table_187" id="187">
  <tableColumns count="1">
    <tableColumn name="Column1" id="1"/>
  </tableColumns>
  <tableStyleInfo name="8°C-style 56" showColumnStripes="0" showFirstColumn="1" showLastColumn="1" showRowStripes="1"/>
</table>
</file>

<file path=xl/tables/table188.xml><?xml version="1.0" encoding="utf-8"?>
<table xmlns="http://schemas.openxmlformats.org/spreadsheetml/2006/main" headerRowCount="0" ref="AO14:AR14" displayName="Table_188" name="Table_188" id="188">
  <tableColumns count="4">
    <tableColumn name="Column1" id="1"/>
    <tableColumn name="Column2" id="2"/>
    <tableColumn name="Column3" id="3"/>
    <tableColumn name="Column4" id="4"/>
  </tableColumns>
  <tableStyleInfo name="8°C-style 57" showColumnStripes="0" showFirstColumn="1" showLastColumn="1" showRowStripes="1"/>
</table>
</file>

<file path=xl/tables/table189.xml><?xml version="1.0" encoding="utf-8"?>
<table xmlns="http://schemas.openxmlformats.org/spreadsheetml/2006/main" headerRowCount="0" ref="AT14:AU14" displayName="Table_189" name="Table_189" id="189">
  <tableColumns count="2">
    <tableColumn name="Column1" id="1"/>
    <tableColumn name="Column2" id="2"/>
  </tableColumns>
  <tableStyleInfo name="8°C-style 58" showColumnStripes="0" showFirstColumn="1" showLastColumn="1" showRowStripes="1"/>
</table>
</file>

<file path=xl/tables/table190.xml><?xml version="1.0" encoding="utf-8"?>
<table xmlns="http://schemas.openxmlformats.org/spreadsheetml/2006/main" headerRowCount="0" ref="BD14:BF14" displayName="Table_190" name="Table_190" id="190">
  <tableColumns count="3">
    <tableColumn name="Column1" id="1"/>
    <tableColumn name="Column2" id="2"/>
    <tableColumn name="Column3" id="3"/>
  </tableColumns>
  <tableStyleInfo name="8°C-style 59" showColumnStripes="0" showFirstColumn="1" showLastColumn="1" showRowStripes="1"/>
</table>
</file>

<file path=xl/tables/table191.xml><?xml version="1.0" encoding="utf-8"?>
<table xmlns="http://schemas.openxmlformats.org/spreadsheetml/2006/main" headerRowCount="0" ref="BG14:BW14" displayName="Table_191" name="Table_191" id="19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8°C-style 60" showColumnStripes="0" showFirstColumn="1" showLastColumn="1" showRowStripes="1"/>
</table>
</file>

<file path=xl/tables/table192.xml><?xml version="1.0" encoding="utf-8"?>
<table xmlns="http://schemas.openxmlformats.org/spreadsheetml/2006/main" headerRowCount="0" ref="B15:D15" displayName="Table_192" name="Table_192" id="192">
  <tableColumns count="3">
    <tableColumn name="Column1" id="1"/>
    <tableColumn name="Column2" id="2"/>
    <tableColumn name="Column3" id="3"/>
  </tableColumns>
  <tableStyleInfo name="8°C-style 61" showColumnStripes="0" showFirstColumn="1" showLastColumn="1" showRowStripes="1"/>
</table>
</file>

<file path=xl/tables/table193.xml><?xml version="1.0" encoding="utf-8"?>
<table xmlns="http://schemas.openxmlformats.org/spreadsheetml/2006/main" headerRowCount="0" ref="H15:W15" displayName="Table_193" name="Table_193" id="19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8°C-style 62" showColumnStripes="0" showFirstColumn="1" showLastColumn="1" showRowStripes="1"/>
</table>
</file>

<file path=xl/tables/table194.xml><?xml version="1.0" encoding="utf-8"?>
<table xmlns="http://schemas.openxmlformats.org/spreadsheetml/2006/main" headerRowCount="0" ref="AD15:AG15" displayName="Table_194" name="Table_194" id="194">
  <tableColumns count="4">
    <tableColumn name="Column1" id="1"/>
    <tableColumn name="Column2" id="2"/>
    <tableColumn name="Column3" id="3"/>
    <tableColumn name="Column4" id="4"/>
  </tableColumns>
  <tableStyleInfo name="8°C-style 63" showColumnStripes="0" showFirstColumn="1" showLastColumn="1" showRowStripes="1"/>
</table>
</file>

<file path=xl/tables/table195.xml><?xml version="1.0" encoding="utf-8"?>
<table xmlns="http://schemas.openxmlformats.org/spreadsheetml/2006/main" headerRowCount="0" ref="AI15:AR15" displayName="Table_195" name="Table_195" id="19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8°C-style 64" showColumnStripes="0" showFirstColumn="1" showLastColumn="1" showRowStripes="1"/>
</table>
</file>

<file path=xl/tables/table196.xml><?xml version="1.0" encoding="utf-8"?>
<table xmlns="http://schemas.openxmlformats.org/spreadsheetml/2006/main" headerRowCount="0" ref="AT15:AU15" displayName="Table_196" name="Table_196" id="196">
  <tableColumns count="2">
    <tableColumn name="Column1" id="1"/>
    <tableColumn name="Column2" id="2"/>
  </tableColumns>
  <tableStyleInfo name="8°C-style 65" showColumnStripes="0" showFirstColumn="1" showLastColumn="1" showRowStripes="1"/>
</table>
</file>

<file path=xl/tables/table197.xml><?xml version="1.0" encoding="utf-8"?>
<table xmlns="http://schemas.openxmlformats.org/spreadsheetml/2006/main" headerRowCount="0" ref="BD15:BF15" displayName="Table_197" name="Table_197" id="197">
  <tableColumns count="3">
    <tableColumn name="Column1" id="1"/>
    <tableColumn name="Column2" id="2"/>
    <tableColumn name="Column3" id="3"/>
  </tableColumns>
  <tableStyleInfo name="8°C-style 66" showColumnStripes="0" showFirstColumn="1" showLastColumn="1" showRowStripes="1"/>
</table>
</file>

<file path=xl/tables/table198.xml><?xml version="1.0" encoding="utf-8"?>
<table xmlns="http://schemas.openxmlformats.org/spreadsheetml/2006/main" headerRowCount="0" ref="BG15:BW15" displayName="Table_198" name="Table_198" id="198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8°C-style 67" showColumnStripes="0" showFirstColumn="1" showLastColumn="1" showRowStripes="1"/>
</table>
</file>

<file path=xl/tables/table199.xml><?xml version="1.0" encoding="utf-8"?>
<table xmlns="http://schemas.openxmlformats.org/spreadsheetml/2006/main" headerRowCount="0" ref="S16:W16" displayName="Table_199" name="Table_199" id="199">
  <tableColumns count="5">
    <tableColumn name="Column1" id="1"/>
    <tableColumn name="Column2" id="2"/>
    <tableColumn name="Column3" id="3"/>
    <tableColumn name="Column4" id="4"/>
    <tableColumn name="Column5" id="5"/>
  </tableColumns>
  <tableStyleInfo name="8°C-style 68" showColumnStripes="0" showFirstColumn="1" showLastColumn="1" showRowStripes="1"/>
</table>
</file>

<file path=xl/tables/table200.xml><?xml version="1.0" encoding="utf-8"?>
<table xmlns="http://schemas.openxmlformats.org/spreadsheetml/2006/main" headerRowCount="0" ref="AD16:AG16" displayName="Table_200" name="Table_200" id="200">
  <tableColumns count="4">
    <tableColumn name="Column1" id="1"/>
    <tableColumn name="Column2" id="2"/>
    <tableColumn name="Column3" id="3"/>
    <tableColumn name="Column4" id="4"/>
  </tableColumns>
  <tableStyleInfo name="8°C-style 69" showColumnStripes="0" showFirstColumn="1" showLastColumn="1" showRowStripes="1"/>
</table>
</file>

<file path=xl/tables/table201.xml><?xml version="1.0" encoding="utf-8"?>
<table xmlns="http://schemas.openxmlformats.org/spreadsheetml/2006/main" headerRowCount="0" ref="AI16:AR16" displayName="Table_201" name="Table_201" id="20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8°C-style 70" showColumnStripes="0" showFirstColumn="1" showLastColumn="1" showRowStripes="1"/>
</table>
</file>

<file path=xl/tables/table202.xml><?xml version="1.0" encoding="utf-8"?>
<table xmlns="http://schemas.openxmlformats.org/spreadsheetml/2006/main" headerRowCount="0" ref="AT16:AU16" displayName="Table_202" name="Table_202" id="202">
  <tableColumns count="2">
    <tableColumn name="Column1" id="1"/>
    <tableColumn name="Column2" id="2"/>
  </tableColumns>
  <tableStyleInfo name="8°C-style 71" showColumnStripes="0" showFirstColumn="1" showLastColumn="1" showRowStripes="1"/>
</table>
</file>

<file path=xl/tables/table203.xml><?xml version="1.0" encoding="utf-8"?>
<table xmlns="http://schemas.openxmlformats.org/spreadsheetml/2006/main" headerRowCount="0" ref="BD16:BF16" displayName="Table_203" name="Table_203" id="203">
  <tableColumns count="3">
    <tableColumn name="Column1" id="1"/>
    <tableColumn name="Column2" id="2"/>
    <tableColumn name="Column3" id="3"/>
  </tableColumns>
  <tableStyleInfo name="8°C-style 72" showColumnStripes="0" showFirstColumn="1" showLastColumn="1" showRowStripes="1"/>
</table>
</file>

<file path=xl/tables/table204.xml><?xml version="1.0" encoding="utf-8"?>
<table xmlns="http://schemas.openxmlformats.org/spreadsheetml/2006/main" headerRowCount="0" ref="BG16:BW16" displayName="Table_204" name="Table_204" id="204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8°C-style 73" showColumnStripes="0" showFirstColumn="1" showLastColumn="1" showRowStripes="1"/>
</table>
</file>

<file path=xl/tables/table205.xml><?xml version="1.0" encoding="utf-8"?>
<table xmlns="http://schemas.openxmlformats.org/spreadsheetml/2006/main" headerRowCount="0" ref="B17:W17" displayName="Table_205" name="Table_205" id="205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8°C-style 74" showColumnStripes="0" showFirstColumn="1" showLastColumn="1" showRowStripes="1"/>
</table>
</file>

<file path=xl/tables/table206.xml><?xml version="1.0" encoding="utf-8"?>
<table xmlns="http://schemas.openxmlformats.org/spreadsheetml/2006/main" headerRowCount="0" ref="AD17:AG17" displayName="Table_206" name="Table_206" id="206">
  <tableColumns count="4">
    <tableColumn name="Column1" id="1"/>
    <tableColumn name="Column2" id="2"/>
    <tableColumn name="Column3" id="3"/>
    <tableColumn name="Column4" id="4"/>
  </tableColumns>
  <tableStyleInfo name="8°C-style 75" showColumnStripes="0" showFirstColumn="1" showLastColumn="1" showRowStripes="1"/>
</table>
</file>

<file path=xl/tables/table207.xml><?xml version="1.0" encoding="utf-8"?>
<table xmlns="http://schemas.openxmlformats.org/spreadsheetml/2006/main" headerRowCount="0" ref="AI17:AR17" displayName="Table_207" name="Table_207" id="20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8°C-style 76" showColumnStripes="0" showFirstColumn="1" showLastColumn="1" showRowStripes="1"/>
</table>
</file>

<file path=xl/tables/table208.xml><?xml version="1.0" encoding="utf-8"?>
<table xmlns="http://schemas.openxmlformats.org/spreadsheetml/2006/main" headerRowCount="0" ref="AT17:AU17" displayName="Table_208" name="Table_208" id="208">
  <tableColumns count="2">
    <tableColumn name="Column1" id="1"/>
    <tableColumn name="Column2" id="2"/>
  </tableColumns>
  <tableStyleInfo name="8°C-style 77" showColumnStripes="0" showFirstColumn="1" showLastColumn="1" showRowStripes="1"/>
</table>
</file>

<file path=xl/tables/table209.xml><?xml version="1.0" encoding="utf-8"?>
<table xmlns="http://schemas.openxmlformats.org/spreadsheetml/2006/main" headerRowCount="0" ref="BD17:BF18" displayName="Table_209" name="Table_209" id="209">
  <tableColumns count="3">
    <tableColumn name="Column1" id="1"/>
    <tableColumn name="Column2" id="2"/>
    <tableColumn name="Column3" id="3"/>
  </tableColumns>
  <tableStyleInfo name="8°C-style 78" showColumnStripes="0" showFirstColumn="1" showLastColumn="1" showRowStripes="1"/>
</table>
</file>

<file path=xl/tables/table210.xml><?xml version="1.0" encoding="utf-8"?>
<table xmlns="http://schemas.openxmlformats.org/spreadsheetml/2006/main" headerRowCount="0" ref="BG17:BW17" displayName="Table_210" name="Table_210" id="21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8°C-style 79" showColumnStripes="0" showFirstColumn="1" showLastColumn="1" showRowStripes="1"/>
</table>
</file>

<file path=xl/tables/table211.xml><?xml version="1.0" encoding="utf-8"?>
<table xmlns="http://schemas.openxmlformats.org/spreadsheetml/2006/main" headerRowCount="0" ref="D18:E18" displayName="Table_211" name="Table_211" id="211">
  <tableColumns count="2">
    <tableColumn name="Column1" id="1"/>
    <tableColumn name="Column2" id="2"/>
  </tableColumns>
  <tableStyleInfo name="8°C-style 80" showColumnStripes="0" showFirstColumn="1" showLastColumn="1" showRowStripes="1"/>
</table>
</file>

<file path=xl/tables/table212.xml><?xml version="1.0" encoding="utf-8"?>
<table xmlns="http://schemas.openxmlformats.org/spreadsheetml/2006/main" headerRowCount="0" ref="F18" displayName="Table_212" name="Table_212" id="212">
  <tableColumns count="1">
    <tableColumn name="Column1" id="1"/>
  </tableColumns>
  <tableStyleInfo name="8°C-style 81" showColumnStripes="0" showFirstColumn="1" showLastColumn="1" showRowStripes="1"/>
</table>
</file>

<file path=xl/tables/table213.xml><?xml version="1.0" encoding="utf-8"?>
<table xmlns="http://schemas.openxmlformats.org/spreadsheetml/2006/main" headerRowCount="0" ref="H18" displayName="Table_213" name="Table_213" id="213">
  <tableColumns count="1">
    <tableColumn name="Column1" id="1"/>
  </tableColumns>
  <tableStyleInfo name="8°C-style 82" showColumnStripes="0" showFirstColumn="1" showLastColumn="1" showRowStripes="1"/>
</table>
</file>

<file path=xl/tables/table214.xml><?xml version="1.0" encoding="utf-8"?>
<table xmlns="http://schemas.openxmlformats.org/spreadsheetml/2006/main" headerRowCount="0" ref="I18" displayName="Table_214" name="Table_214" id="214">
  <tableColumns count="1">
    <tableColumn name="Column1" id="1"/>
  </tableColumns>
  <tableStyleInfo name="8°C-style 83" showColumnStripes="0" showFirstColumn="1" showLastColumn="1" showRowStripes="1"/>
</table>
</file>

<file path=xl/tables/table215.xml><?xml version="1.0" encoding="utf-8"?>
<table xmlns="http://schemas.openxmlformats.org/spreadsheetml/2006/main" headerRowCount="0" ref="K18" displayName="Table_215" name="Table_215" id="215">
  <tableColumns count="1">
    <tableColumn name="Column1" id="1"/>
  </tableColumns>
  <tableStyleInfo name="8°C-style 84" showColumnStripes="0" showFirstColumn="1" showLastColumn="1" showRowStripes="1"/>
</table>
</file>

<file path=xl/tables/table216.xml><?xml version="1.0" encoding="utf-8"?>
<table xmlns="http://schemas.openxmlformats.org/spreadsheetml/2006/main" headerRowCount="0" ref="L18" displayName="Table_216" name="Table_216" id="216">
  <tableColumns count="1">
    <tableColumn name="Column1" id="1"/>
  </tableColumns>
  <tableStyleInfo name="8°C-style 85" showColumnStripes="0" showFirstColumn="1" showLastColumn="1" showRowStripes="1"/>
</table>
</file>

<file path=xl/tables/table217.xml><?xml version="1.0" encoding="utf-8"?>
<table xmlns="http://schemas.openxmlformats.org/spreadsheetml/2006/main" headerRowCount="0" ref="M18" displayName="Table_217" name="Table_217" id="217">
  <tableColumns count="1">
    <tableColumn name="Column1" id="1"/>
  </tableColumns>
  <tableStyleInfo name="8°C-style 86" showColumnStripes="0" showFirstColumn="1" showLastColumn="1" showRowStripes="1"/>
</table>
</file>

<file path=xl/tables/table218.xml><?xml version="1.0" encoding="utf-8"?>
<table xmlns="http://schemas.openxmlformats.org/spreadsheetml/2006/main" headerRowCount="0" ref="Q18" displayName="Table_218" name="Table_218" id="218">
  <tableColumns count="1">
    <tableColumn name="Column1" id="1"/>
  </tableColumns>
  <tableStyleInfo name="8°C-style 87" showColumnStripes="0" showFirstColumn="1" showLastColumn="1" showRowStripes="1"/>
</table>
</file>

<file path=xl/tables/table219.xml><?xml version="1.0" encoding="utf-8"?>
<table xmlns="http://schemas.openxmlformats.org/spreadsheetml/2006/main" headerRowCount="0" ref="BG18:BN18" displayName="Table_219" name="Table_219" id="21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8°C-style 88" showColumnStripes="0" showFirstColumn="1" showLastColumn="1" showRowStripes="1"/>
</table>
</file>

<file path=xl/tables/table220.xml><?xml version="1.0" encoding="utf-8"?>
<table xmlns="http://schemas.openxmlformats.org/spreadsheetml/2006/main" headerRowCount="0" ref="B19:D19" displayName="Table_220" name="Table_220" id="220">
  <tableColumns count="3">
    <tableColumn name="Column1" id="1"/>
    <tableColumn name="Column2" id="2"/>
    <tableColumn name="Column3" id="3"/>
  </tableColumns>
  <tableStyleInfo name="8°C-style 89" showColumnStripes="0" showFirstColumn="1" showLastColumn="1" showRowStripes="1"/>
</table>
</file>

<file path=xl/tables/table221.xml><?xml version="1.0" encoding="utf-8"?>
<table xmlns="http://schemas.openxmlformats.org/spreadsheetml/2006/main" headerRowCount="0" ref="H19:W19" displayName="Table_221" name="Table_221" id="22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8°C-style 90" showColumnStripes="0" showFirstColumn="1" showLastColumn="1" showRowStripes="1"/>
</table>
</file>

<file path=xl/tables/table222.xml><?xml version="1.0" encoding="utf-8"?>
<table xmlns="http://schemas.openxmlformats.org/spreadsheetml/2006/main" headerRowCount="0" ref="AD19:AG19" displayName="Table_222" name="Table_222" id="222">
  <tableColumns count="4">
    <tableColumn name="Column1" id="1"/>
    <tableColumn name="Column2" id="2"/>
    <tableColumn name="Column3" id="3"/>
    <tableColumn name="Column4" id="4"/>
  </tableColumns>
  <tableStyleInfo name="8°C-style 91" showColumnStripes="0" showFirstColumn="1" showLastColumn="1" showRowStripes="1"/>
</table>
</file>

<file path=xl/tables/table223.xml><?xml version="1.0" encoding="utf-8"?>
<table xmlns="http://schemas.openxmlformats.org/spreadsheetml/2006/main" headerRowCount="0" ref="AI19:AR19" displayName="Table_223" name="Table_223" id="22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8°C-style 92" showColumnStripes="0" showFirstColumn="1" showLastColumn="1" showRowStripes="1"/>
</table>
</file>

<file path=xl/tables/table224.xml><?xml version="1.0" encoding="utf-8"?>
<table xmlns="http://schemas.openxmlformats.org/spreadsheetml/2006/main" headerRowCount="0" ref="AT19:AU19" displayName="Table_224" name="Table_224" id="224">
  <tableColumns count="2">
    <tableColumn name="Column1" id="1"/>
    <tableColumn name="Column2" id="2"/>
  </tableColumns>
  <tableStyleInfo name="8°C-style 93" showColumnStripes="0" showFirstColumn="1" showLastColumn="1" showRowStripes="1"/>
</table>
</file>

<file path=xl/tables/table225.xml><?xml version="1.0" encoding="utf-8"?>
<table xmlns="http://schemas.openxmlformats.org/spreadsheetml/2006/main" headerRowCount="0" ref="BD19:BF19" displayName="Table_225" name="Table_225" id="225">
  <tableColumns count="3">
    <tableColumn name="Column1" id="1"/>
    <tableColumn name="Column2" id="2"/>
    <tableColumn name="Column3" id="3"/>
  </tableColumns>
  <tableStyleInfo name="8°C-style 94" showColumnStripes="0" showFirstColumn="1" showLastColumn="1" showRowStripes="1"/>
</table>
</file>

<file path=xl/tables/table226.xml><?xml version="1.0" encoding="utf-8"?>
<table xmlns="http://schemas.openxmlformats.org/spreadsheetml/2006/main" headerRowCount="0" ref="BG19:BW19" displayName="Table_226" name="Table_226" id="226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8°C-style 95" showColumnStripes="0" showFirstColumn="1" showLastColumn="1" showRowStripes="1"/>
</table>
</file>

<file path=xl/tables/table227.xml><?xml version="1.0" encoding="utf-8"?>
<table xmlns="http://schemas.openxmlformats.org/spreadsheetml/2006/main" headerRowCount="0" ref="B20:D20" displayName="Table_227" name="Table_227" id="227">
  <tableColumns count="3">
    <tableColumn name="Column1" id="1"/>
    <tableColumn name="Column2" id="2"/>
    <tableColumn name="Column3" id="3"/>
  </tableColumns>
  <tableStyleInfo name="8°C-style 96" showColumnStripes="0" showFirstColumn="1" showLastColumn="1" showRowStripes="1"/>
</table>
</file>

<file path=xl/tables/table228.xml><?xml version="1.0" encoding="utf-8"?>
<table xmlns="http://schemas.openxmlformats.org/spreadsheetml/2006/main" headerRowCount="0" ref="H20:W20" displayName="Table_228" name="Table_228" id="228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8°C-style 97" showColumnStripes="0" showFirstColumn="1" showLastColumn="1" showRowStripes="1"/>
</table>
</file>

<file path=xl/tables/table229.xml><?xml version="1.0" encoding="utf-8"?>
<table xmlns="http://schemas.openxmlformats.org/spreadsheetml/2006/main" headerRowCount="0" ref="AD20:AG20" displayName="Table_229" name="Table_229" id="229">
  <tableColumns count="4">
    <tableColumn name="Column1" id="1"/>
    <tableColumn name="Column2" id="2"/>
    <tableColumn name="Column3" id="3"/>
    <tableColumn name="Column4" id="4"/>
  </tableColumns>
  <tableStyleInfo name="8°C-style 98" showColumnStripes="0" showFirstColumn="1" showLastColumn="1" showRowStripes="1"/>
</table>
</file>

<file path=xl/tables/table230.xml><?xml version="1.0" encoding="utf-8"?>
<table xmlns="http://schemas.openxmlformats.org/spreadsheetml/2006/main" headerRowCount="0" ref="AI20:AR20" displayName="Table_230" name="Table_230" id="23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8°C-style 99" showColumnStripes="0" showFirstColumn="1" showLastColumn="1" showRowStripes="1"/>
</table>
</file>

<file path=xl/tables/table231.xml><?xml version="1.0" encoding="utf-8"?>
<table xmlns="http://schemas.openxmlformats.org/spreadsheetml/2006/main" headerRowCount="0" ref="AT20:AU20" displayName="Table_231" name="Table_231" id="231">
  <tableColumns count="2">
    <tableColumn name="Column1" id="1"/>
    <tableColumn name="Column2" id="2"/>
  </tableColumns>
  <tableStyleInfo name="8°C-style 100" showColumnStripes="0" showFirstColumn="1" showLastColumn="1" showRowStripes="1"/>
</table>
</file>

<file path=xl/tables/table232.xml><?xml version="1.0" encoding="utf-8"?>
<table xmlns="http://schemas.openxmlformats.org/spreadsheetml/2006/main" headerRowCount="0" ref="BD20:BF20" displayName="Table_232" name="Table_232" id="232">
  <tableColumns count="3">
    <tableColumn name="Column1" id="1"/>
    <tableColumn name="Column2" id="2"/>
    <tableColumn name="Column3" id="3"/>
  </tableColumns>
  <tableStyleInfo name="8°C-style 101" showColumnStripes="0" showFirstColumn="1" showLastColumn="1" showRowStripes="1"/>
</table>
</file>

<file path=xl/tables/table233.xml><?xml version="1.0" encoding="utf-8"?>
<table xmlns="http://schemas.openxmlformats.org/spreadsheetml/2006/main" headerRowCount="0" ref="BG20:BW20" displayName="Table_233" name="Table_233" id="233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8°C-style 102" showColumnStripes="0" showFirstColumn="1" showLastColumn="1" showRowStripes="1"/>
</table>
</file>

<file path=xl/tables/table234.xml><?xml version="1.0" encoding="utf-8"?>
<table xmlns="http://schemas.openxmlformats.org/spreadsheetml/2006/main" headerRowCount="0" ref="S21:W21" displayName="Table_234" name="Table_234" id="234">
  <tableColumns count="5">
    <tableColumn name="Column1" id="1"/>
    <tableColumn name="Column2" id="2"/>
    <tableColumn name="Column3" id="3"/>
    <tableColumn name="Column4" id="4"/>
    <tableColumn name="Column5" id="5"/>
  </tableColumns>
  <tableStyleInfo name="8°C-style 103" showColumnStripes="0" showFirstColumn="1" showLastColumn="1" showRowStripes="1"/>
</table>
</file>

<file path=xl/tables/table235.xml><?xml version="1.0" encoding="utf-8"?>
<table xmlns="http://schemas.openxmlformats.org/spreadsheetml/2006/main" headerRowCount="0" ref="AD21:AG21" displayName="Table_235" name="Table_235" id="235">
  <tableColumns count="4">
    <tableColumn name="Column1" id="1"/>
    <tableColumn name="Column2" id="2"/>
    <tableColumn name="Column3" id="3"/>
    <tableColumn name="Column4" id="4"/>
  </tableColumns>
  <tableStyleInfo name="8°C-style 104" showColumnStripes="0" showFirstColumn="1" showLastColumn="1" showRowStripes="1"/>
</table>
</file>

<file path=xl/tables/table236.xml><?xml version="1.0" encoding="utf-8"?>
<table xmlns="http://schemas.openxmlformats.org/spreadsheetml/2006/main" headerRowCount="0" ref="AI21:AR21" displayName="Table_236" name="Table_236" id="23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8°C-style 105" showColumnStripes="0" showFirstColumn="1" showLastColumn="1" showRowStripes="1"/>
</table>
</file>

<file path=xl/tables/table237.xml><?xml version="1.0" encoding="utf-8"?>
<table xmlns="http://schemas.openxmlformats.org/spreadsheetml/2006/main" headerRowCount="0" ref="AT21:AU21" displayName="Table_237" name="Table_237" id="237">
  <tableColumns count="2">
    <tableColumn name="Column1" id="1"/>
    <tableColumn name="Column2" id="2"/>
  </tableColumns>
  <tableStyleInfo name="8°C-style 106" showColumnStripes="0" showFirstColumn="1" showLastColumn="1" showRowStripes="1"/>
</table>
</file>

<file path=xl/tables/table238.xml><?xml version="1.0" encoding="utf-8"?>
<table xmlns="http://schemas.openxmlformats.org/spreadsheetml/2006/main" headerRowCount="0" ref="BD21:BF21" displayName="Table_238" name="Table_238" id="238">
  <tableColumns count="3">
    <tableColumn name="Column1" id="1"/>
    <tableColumn name="Column2" id="2"/>
    <tableColumn name="Column3" id="3"/>
  </tableColumns>
  <tableStyleInfo name="8°C-style 107" showColumnStripes="0" showFirstColumn="1" showLastColumn="1" showRowStripes="1"/>
</table>
</file>

<file path=xl/tables/table239.xml><?xml version="1.0" encoding="utf-8"?>
<table xmlns="http://schemas.openxmlformats.org/spreadsheetml/2006/main" headerRowCount="0" ref="BG21:BW21" displayName="Table_239" name="Table_239" id="239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8°C-style 108" showColumnStripes="0" showFirstColumn="1" showLastColumn="1" showRowStripes="1"/>
</table>
</file>

<file path=xl/tables/table240.xml><?xml version="1.0" encoding="utf-8"?>
<table xmlns="http://schemas.openxmlformats.org/spreadsheetml/2006/main" headerRowCount="0" ref="U22:W22" displayName="Table_240" name="Table_240" id="240">
  <tableColumns count="3">
    <tableColumn name="Column1" id="1"/>
    <tableColumn name="Column2" id="2"/>
    <tableColumn name="Column3" id="3"/>
  </tableColumns>
  <tableStyleInfo name="8°C-style 109" showColumnStripes="0" showFirstColumn="1" showLastColumn="1" showRowStripes="1"/>
</table>
</file>

<file path=xl/tables/table241.xml><?xml version="1.0" encoding="utf-8"?>
<table xmlns="http://schemas.openxmlformats.org/spreadsheetml/2006/main" headerRowCount="0" ref="AD22:AG22" displayName="Table_241" name="Table_241" id="241">
  <tableColumns count="4">
    <tableColumn name="Column1" id="1"/>
    <tableColumn name="Column2" id="2"/>
    <tableColumn name="Column3" id="3"/>
    <tableColumn name="Column4" id="4"/>
  </tableColumns>
  <tableStyleInfo name="8°C-style 110" showColumnStripes="0" showFirstColumn="1" showLastColumn="1" showRowStripes="1"/>
</table>
</file>

<file path=xl/tables/table242.xml><?xml version="1.0" encoding="utf-8"?>
<table xmlns="http://schemas.openxmlformats.org/spreadsheetml/2006/main" headerRowCount="0" ref="AI22:AR22" displayName="Table_242" name="Table_242" id="24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8°C-style 111" showColumnStripes="0" showFirstColumn="1" showLastColumn="1" showRowStripes="1"/>
</table>
</file>

<file path=xl/tables/table243.xml><?xml version="1.0" encoding="utf-8"?>
<table xmlns="http://schemas.openxmlformats.org/spreadsheetml/2006/main" headerRowCount="0" ref="AT22:AU22" displayName="Table_243" name="Table_243" id="243">
  <tableColumns count="2">
    <tableColumn name="Column1" id="1"/>
    <tableColumn name="Column2" id="2"/>
  </tableColumns>
  <tableStyleInfo name="8°C-style 112" showColumnStripes="0" showFirstColumn="1" showLastColumn="1" showRowStripes="1"/>
</table>
</file>

<file path=xl/tables/table244.xml><?xml version="1.0" encoding="utf-8"?>
<table xmlns="http://schemas.openxmlformats.org/spreadsheetml/2006/main" headerRowCount="0" ref="BD22:BF22" displayName="Table_244" name="Table_244" id="244">
  <tableColumns count="3">
    <tableColumn name="Column1" id="1"/>
    <tableColumn name="Column2" id="2"/>
    <tableColumn name="Column3" id="3"/>
  </tableColumns>
  <tableStyleInfo name="8°C-style 113" showColumnStripes="0" showFirstColumn="1" showLastColumn="1" showRowStripes="1"/>
</table>
</file>

<file path=xl/tables/table245.xml><?xml version="1.0" encoding="utf-8"?>
<table xmlns="http://schemas.openxmlformats.org/spreadsheetml/2006/main" headerRowCount="0" ref="BG22:BW22" displayName="Table_245" name="Table_245" id="245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8°C-style 114" showColumnStripes="0" showFirstColumn="1" showLastColumn="1" showRowStripes="1"/>
</table>
</file>

<file path=xl/tables/table246.xml><?xml version="1.0" encoding="utf-8"?>
<table xmlns="http://schemas.openxmlformats.org/spreadsheetml/2006/main" headerRowCount="0" ref="I23:W23" displayName="Table_246" name="Table_246" id="24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8°C-style 115" showColumnStripes="0" showFirstColumn="1" showLastColumn="1" showRowStripes="1"/>
</table>
</file>

<file path=xl/tables/table247.xml><?xml version="1.0" encoding="utf-8"?>
<table xmlns="http://schemas.openxmlformats.org/spreadsheetml/2006/main" headerRowCount="0" ref="AD23:AG23" displayName="Table_247" name="Table_247" id="247">
  <tableColumns count="4">
    <tableColumn name="Column1" id="1"/>
    <tableColumn name="Column2" id="2"/>
    <tableColumn name="Column3" id="3"/>
    <tableColumn name="Column4" id="4"/>
  </tableColumns>
  <tableStyleInfo name="8°C-style 116" showColumnStripes="0" showFirstColumn="1" showLastColumn="1" showRowStripes="1"/>
</table>
</file>

<file path=xl/tables/table248.xml><?xml version="1.0" encoding="utf-8"?>
<table xmlns="http://schemas.openxmlformats.org/spreadsheetml/2006/main" headerRowCount="0" ref="AI23:AL23" displayName="Table_248" name="Table_248" id="248">
  <tableColumns count="4">
    <tableColumn name="Column1" id="1"/>
    <tableColumn name="Column2" id="2"/>
    <tableColumn name="Column3" id="3"/>
    <tableColumn name="Column4" id="4"/>
  </tableColumns>
  <tableStyleInfo name="8°C-style 117" showColumnStripes="0" showFirstColumn="1" showLastColumn="1" showRowStripes="1"/>
</table>
</file>

<file path=xl/tables/table249.xml><?xml version="1.0" encoding="utf-8"?>
<table xmlns="http://schemas.openxmlformats.org/spreadsheetml/2006/main" headerRowCount="0" ref="AM23" displayName="Table_249" name="Table_249" id="249">
  <tableColumns count="1">
    <tableColumn name="Column1" id="1"/>
  </tableColumns>
  <tableStyleInfo name="8°C-style 118" showColumnStripes="0" showFirstColumn="1" showLastColumn="1" showRowStripes="1"/>
</table>
</file>

<file path=xl/tables/table250.xml><?xml version="1.0" encoding="utf-8"?>
<table xmlns="http://schemas.openxmlformats.org/spreadsheetml/2006/main" headerRowCount="0" ref="AN23" displayName="Table_250" name="Table_250" id="250">
  <tableColumns count="1">
    <tableColumn name="Column1" id="1"/>
  </tableColumns>
  <tableStyleInfo name="8°C-style 119" showColumnStripes="0" showFirstColumn="1" showLastColumn="1" showRowStripes="1"/>
</table>
</file>

<file path=xl/tables/table251.xml><?xml version="1.0" encoding="utf-8"?>
<table xmlns="http://schemas.openxmlformats.org/spreadsheetml/2006/main" headerRowCount="0" ref="AO23:AR23" displayName="Table_251" name="Table_251" id="251">
  <tableColumns count="4">
    <tableColumn name="Column1" id="1"/>
    <tableColumn name="Column2" id="2"/>
    <tableColumn name="Column3" id="3"/>
    <tableColumn name="Column4" id="4"/>
  </tableColumns>
  <tableStyleInfo name="8°C-style 120" showColumnStripes="0" showFirstColumn="1" showLastColumn="1" showRowStripes="1"/>
</table>
</file>

<file path=xl/tables/table252.xml><?xml version="1.0" encoding="utf-8"?>
<table xmlns="http://schemas.openxmlformats.org/spreadsheetml/2006/main" headerRowCount="0" ref="AT23:AU23" displayName="Table_252" name="Table_252" id="252">
  <tableColumns count="2">
    <tableColumn name="Column1" id="1"/>
    <tableColumn name="Column2" id="2"/>
  </tableColumns>
  <tableStyleInfo name="8°C-style 121" showColumnStripes="0" showFirstColumn="1" showLastColumn="1" showRowStripes="1"/>
</table>
</file>

<file path=xl/tables/table253.xml><?xml version="1.0" encoding="utf-8"?>
<table xmlns="http://schemas.openxmlformats.org/spreadsheetml/2006/main" headerRowCount="0" ref="BD23:BF23" displayName="Table_253" name="Table_253" id="253">
  <tableColumns count="3">
    <tableColumn name="Column1" id="1"/>
    <tableColumn name="Column2" id="2"/>
    <tableColumn name="Column3" id="3"/>
  </tableColumns>
  <tableStyleInfo name="8°C-style 122" showColumnStripes="0" showFirstColumn="1" showLastColumn="1" showRowStripes="1"/>
</table>
</file>

<file path=xl/tables/table254.xml><?xml version="1.0" encoding="utf-8"?>
<table xmlns="http://schemas.openxmlformats.org/spreadsheetml/2006/main" headerRowCount="0" ref="BG23:BW23" displayName="Table_254" name="Table_254" id="254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8°C-style 123" showColumnStripes="0" showFirstColumn="1" showLastColumn="1" showRowStripes="1"/>
</table>
</file>

<file path=xl/tables/table255.xml><?xml version="1.0" encoding="utf-8"?>
<table xmlns="http://schemas.openxmlformats.org/spreadsheetml/2006/main" headerRowCount="0" ref="B25:W34" displayName="Table_255" name="Table_255" id="255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8°C-style 124" showColumnStripes="0" showFirstColumn="1" showLastColumn="1" showRowStripes="1"/>
</table>
</file>

<file path=xl/tables/table256.xml><?xml version="1.0" encoding="utf-8"?>
<table xmlns="http://schemas.openxmlformats.org/spreadsheetml/2006/main" headerRowCount="0" ref="AD25:AG34" displayName="Table_256" name="Table_256" id="256">
  <tableColumns count="4">
    <tableColumn name="Column1" id="1"/>
    <tableColumn name="Column2" id="2"/>
    <tableColumn name="Column3" id="3"/>
    <tableColumn name="Column4" id="4"/>
  </tableColumns>
  <tableStyleInfo name="8°C-style 125" showColumnStripes="0" showFirstColumn="1" showLastColumn="1" showRowStripes="1"/>
</table>
</file>

<file path=xl/tables/table257.xml><?xml version="1.0" encoding="utf-8"?>
<table xmlns="http://schemas.openxmlformats.org/spreadsheetml/2006/main" headerRowCount="0" ref="AI25:AR34" displayName="Table_257" name="Table_257" id="25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8°C-style 126" showColumnStripes="0" showFirstColumn="1" showLastColumn="1" showRowStripes="1"/>
</table>
</file>

<file path=xl/tables/table258.xml><?xml version="1.0" encoding="utf-8"?>
<table xmlns="http://schemas.openxmlformats.org/spreadsheetml/2006/main" headerRowCount="0" ref="AT25:AU34" displayName="Table_258" name="Table_258" id="258">
  <tableColumns count="2">
    <tableColumn name="Column1" id="1"/>
    <tableColumn name="Column2" id="2"/>
  </tableColumns>
  <tableStyleInfo name="8°C-style 127" showColumnStripes="0" showFirstColumn="1" showLastColumn="1" showRowStripes="1"/>
</table>
</file>

<file path=xl/tables/table259.xml><?xml version="1.0" encoding="utf-8"?>
<table xmlns="http://schemas.openxmlformats.org/spreadsheetml/2006/main" headerRowCount="0" ref="BD25:BF34" displayName="Table_259" name="Table_259" id="259">
  <tableColumns count="3">
    <tableColumn name="Column1" id="1"/>
    <tableColumn name="Column2" id="2"/>
    <tableColumn name="Column3" id="3"/>
  </tableColumns>
  <tableStyleInfo name="8°C-style 128" showColumnStripes="0" showFirstColumn="1" showLastColumn="1" showRowStripes="1"/>
</table>
</file>

<file path=xl/tables/table260.xml><?xml version="1.0" encoding="utf-8"?>
<table xmlns="http://schemas.openxmlformats.org/spreadsheetml/2006/main" headerRowCount="0" ref="BG26:BO26" displayName="Table_260" name="Table_260" id="26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8°C-style 129" showColumnStripes="0" showFirstColumn="1" showLastColumn="1" showRowStripes="1"/>
</table>
</file>

<file path=xl/tables/table261.xml><?xml version="1.0" encoding="utf-8"?>
<table xmlns="http://schemas.openxmlformats.org/spreadsheetml/2006/main" headerRowCount="0" ref="BP26:BW26" displayName="Table_261" name="Table_261" id="26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8°C-style 130" showColumnStripes="0" showFirstColumn="1" showLastColumn="1" showRowStripes="1"/>
</table>
</file>

<file path=xl/tables/table262.xml><?xml version="1.0" encoding="utf-8"?>
<table xmlns="http://schemas.openxmlformats.org/spreadsheetml/2006/main" headerRowCount="0" ref="BG28:BW28" displayName="Table_262" name="Table_262" id="26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8°C-style 131" showColumnStripes="0" showFirstColumn="1" showLastColumn="1" showRowStripes="1"/>
</table>
</file>

<file path=xl/tables/table263.xml><?xml version="1.0" encoding="utf-8"?>
<table xmlns="http://schemas.openxmlformats.org/spreadsheetml/2006/main" headerRowCount="0" ref="BG30:BW30" displayName="Table_263" name="Table_263" id="263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8°C-style 132" showColumnStripes="0" showFirstColumn="1" showLastColumn="1" showRowStripes="1"/>
</table>
</file>

<file path=xl/tables/table264.xml><?xml version="1.0" encoding="utf-8"?>
<table xmlns="http://schemas.openxmlformats.org/spreadsheetml/2006/main" headerRowCount="0" ref="BL31:BW31" displayName="Table_264" name="Table_264" id="26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8°C-style 133" showColumnStripes="0" showFirstColumn="1" showLastColumn="1" showRowStripes="1"/>
</table>
</file>

<file path=xl/tables/table265.xml><?xml version="1.0" encoding="utf-8"?>
<table xmlns="http://schemas.openxmlformats.org/spreadsheetml/2006/main" headerRowCount="0" ref="BG32:BW32" displayName="Table_265" name="Table_265" id="265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8°C-style 134" showColumnStripes="0" showFirstColumn="1" showLastColumn="1" showRowStripes="1"/>
</table>
</file>

<file path=xl/tables/table266.xml><?xml version="1.0" encoding="utf-8"?>
<table xmlns="http://schemas.openxmlformats.org/spreadsheetml/2006/main" headerRowCount="0" ref="BR33:BW33" displayName="Table_266" name="Table_266" id="26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8°C-style 135" showColumnStripes="0" showFirstColumn="1" showLastColumn="1" showRowStripes="1"/>
</table>
</file>

<file path=xl/tables/table267.xml><?xml version="1.0" encoding="utf-8"?>
<table xmlns="http://schemas.openxmlformats.org/spreadsheetml/2006/main" headerRowCount="0" ref="BG34:BW34" displayName="Table_267" name="Table_267" id="267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8°C-style 136" showColumnStripes="0" showFirstColumn="1" showLastColumn="1" showRowStripes="1"/>
</table>
</file>

<file path=xl/tables/table268.xml><?xml version="1.0" encoding="utf-8"?>
<table xmlns="http://schemas.openxmlformats.org/spreadsheetml/2006/main" headerRowCount="0" ref="B5:D5" displayName="Table_268" name="Table_268" id="268">
  <tableColumns count="3">
    <tableColumn name="Column1" id="1"/>
    <tableColumn name="Column2" id="2"/>
    <tableColumn name="Column3" id="3"/>
  </tableColumns>
  <tableStyleInfo name="8°D-style" showColumnStripes="0" showFirstColumn="1" showLastColumn="1" showRowStripes="1"/>
</table>
</file>

<file path=xl/tables/table269.xml><?xml version="1.0" encoding="utf-8"?>
<table xmlns="http://schemas.openxmlformats.org/spreadsheetml/2006/main" headerRowCount="0" ref="K5:W5" displayName="Table_269" name="Table_269" id="269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8°D-style 2" showColumnStripes="0" showFirstColumn="1" showLastColumn="1" showRowStripes="1"/>
</table>
</file>

<file path=xl/tables/table270.xml><?xml version="1.0" encoding="utf-8"?>
<table xmlns="http://schemas.openxmlformats.org/spreadsheetml/2006/main" headerRowCount="0" ref="AA5:AR5" displayName="Table_270" name="Table_270" id="270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8°D-style 3" showColumnStripes="0" showFirstColumn="1" showLastColumn="1" showRowStripes="1"/>
</table>
</file>

<file path=xl/tables/table271.xml><?xml version="1.0" encoding="utf-8"?>
<table xmlns="http://schemas.openxmlformats.org/spreadsheetml/2006/main" headerRowCount="0" ref="AT5:AU5" displayName="Table_271" name="Table_271" id="271">
  <tableColumns count="2">
    <tableColumn name="Column1" id="1"/>
    <tableColumn name="Column2" id="2"/>
  </tableColumns>
  <tableStyleInfo name="8°D-style 4" showColumnStripes="0" showFirstColumn="1" showLastColumn="1" showRowStripes="1"/>
</table>
</file>

<file path=xl/tables/table272.xml><?xml version="1.0" encoding="utf-8"?>
<table xmlns="http://schemas.openxmlformats.org/spreadsheetml/2006/main" headerRowCount="0" ref="AR6" displayName="Table_272" name="Table_272" id="272">
  <tableColumns count="1">
    <tableColumn name="Column1" id="1"/>
  </tableColumns>
  <tableStyleInfo name="8°D-style 5" showColumnStripes="0" showFirstColumn="1" showLastColumn="1" showRowStripes="1"/>
</table>
</file>

<file path=xl/tables/table273.xml><?xml version="1.0" encoding="utf-8"?>
<table xmlns="http://schemas.openxmlformats.org/spreadsheetml/2006/main" headerRowCount="0" ref="B7:D7" displayName="Table_273" name="Table_273" id="273">
  <tableColumns count="3">
    <tableColumn name="Column1" id="1"/>
    <tableColumn name="Column2" id="2"/>
    <tableColumn name="Column3" id="3"/>
  </tableColumns>
  <tableStyleInfo name="8°D-style 6" showColumnStripes="0" showFirstColumn="1" showLastColumn="1" showRowStripes="1"/>
</table>
</file>

<file path=xl/tables/table274.xml><?xml version="1.0" encoding="utf-8"?>
<table xmlns="http://schemas.openxmlformats.org/spreadsheetml/2006/main" headerRowCount="0" ref="K7:W7" displayName="Table_274" name="Table_274" id="274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8°D-style 7" showColumnStripes="0" showFirstColumn="1" showLastColumn="1" showRowStripes="1"/>
</table>
</file>

<file path=xl/tables/table275.xml><?xml version="1.0" encoding="utf-8"?>
<table xmlns="http://schemas.openxmlformats.org/spreadsheetml/2006/main" headerRowCount="0" ref="AA7:AR7" displayName="Table_275" name="Table_275" id="275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8°D-style 8" showColumnStripes="0" showFirstColumn="1" showLastColumn="1" showRowStripes="1"/>
</table>
</file>

<file path=xl/tables/table276.xml><?xml version="1.0" encoding="utf-8"?>
<table xmlns="http://schemas.openxmlformats.org/spreadsheetml/2006/main" headerRowCount="0" ref="AT7:AU7" displayName="Table_276" name="Table_276" id="276">
  <tableColumns count="2">
    <tableColumn name="Column1" id="1"/>
    <tableColumn name="Column2" id="2"/>
  </tableColumns>
  <tableStyleInfo name="8°D-style 9" showColumnStripes="0" showFirstColumn="1" showLastColumn="1" showRowStripes="1"/>
</table>
</file>

<file path=xl/tables/table277.xml><?xml version="1.0" encoding="utf-8"?>
<table xmlns="http://schemas.openxmlformats.org/spreadsheetml/2006/main" headerRowCount="0" ref="B8:D8" displayName="Table_277" name="Table_277" id="277">
  <tableColumns count="3">
    <tableColumn name="Column1" id="1"/>
    <tableColumn name="Column2" id="2"/>
    <tableColumn name="Column3" id="3"/>
  </tableColumns>
  <tableStyleInfo name="8°D-style 10" showColumnStripes="0" showFirstColumn="1" showLastColumn="1" showRowStripes="1"/>
</table>
</file>

<file path=xl/tables/table278.xml><?xml version="1.0" encoding="utf-8"?>
<table xmlns="http://schemas.openxmlformats.org/spreadsheetml/2006/main" headerRowCount="0" ref="K8:W8" displayName="Table_278" name="Table_278" id="278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8°D-style 11" showColumnStripes="0" showFirstColumn="1" showLastColumn="1" showRowStripes="1"/>
</table>
</file>

<file path=xl/tables/table279.xml><?xml version="1.0" encoding="utf-8"?>
<table xmlns="http://schemas.openxmlformats.org/spreadsheetml/2006/main" headerRowCount="0" ref="AA8:AR8" displayName="Table_279" name="Table_279" id="279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8°D-style 12" showColumnStripes="0" showFirstColumn="1" showLastColumn="1" showRowStripes="1"/>
</table>
</file>

<file path=xl/tables/table280.xml><?xml version="1.0" encoding="utf-8"?>
<table xmlns="http://schemas.openxmlformats.org/spreadsheetml/2006/main" headerRowCount="0" ref="AT8:AU8" displayName="Table_280" name="Table_280" id="280">
  <tableColumns count="2">
    <tableColumn name="Column1" id="1"/>
    <tableColumn name="Column2" id="2"/>
  </tableColumns>
  <tableStyleInfo name="8°D-style 13" showColumnStripes="0" showFirstColumn="1" showLastColumn="1" showRowStripes="1"/>
</table>
</file>

<file path=xl/tables/table281.xml><?xml version="1.0" encoding="utf-8"?>
<table xmlns="http://schemas.openxmlformats.org/spreadsheetml/2006/main" headerRowCount="0" ref="B9:D9" displayName="Table_281" name="Table_281" id="281">
  <tableColumns count="3">
    <tableColumn name="Column1" id="1"/>
    <tableColumn name="Column2" id="2"/>
    <tableColumn name="Column3" id="3"/>
  </tableColumns>
  <tableStyleInfo name="8°D-style 14" showColumnStripes="0" showFirstColumn="1" showLastColumn="1" showRowStripes="1"/>
</table>
</file>

<file path=xl/tables/table282.xml><?xml version="1.0" encoding="utf-8"?>
<table xmlns="http://schemas.openxmlformats.org/spreadsheetml/2006/main" headerRowCount="0" ref="K9:W9" displayName="Table_282" name="Table_282" id="28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8°D-style 15" showColumnStripes="0" showFirstColumn="1" showLastColumn="1" showRowStripes="1"/>
</table>
</file>

<file path=xl/tables/table283.xml><?xml version="1.0" encoding="utf-8"?>
<table xmlns="http://schemas.openxmlformats.org/spreadsheetml/2006/main" headerRowCount="0" ref="AA9:AR9" displayName="Table_283" name="Table_283" id="28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8°D-style 16" showColumnStripes="0" showFirstColumn="1" showLastColumn="1" showRowStripes="1"/>
</table>
</file>

<file path=xl/tables/table284.xml><?xml version="1.0" encoding="utf-8"?>
<table xmlns="http://schemas.openxmlformats.org/spreadsheetml/2006/main" headerRowCount="0" ref="AT9:AU9" displayName="Table_284" name="Table_284" id="284">
  <tableColumns count="2">
    <tableColumn name="Column1" id="1"/>
    <tableColumn name="Column2" id="2"/>
  </tableColumns>
  <tableStyleInfo name="8°D-style 17" showColumnStripes="0" showFirstColumn="1" showLastColumn="1" showRowStripes="1"/>
</table>
</file>

<file path=xl/tables/table285.xml><?xml version="1.0" encoding="utf-8"?>
<table xmlns="http://schemas.openxmlformats.org/spreadsheetml/2006/main" headerRowCount="0" ref="B10:D10" displayName="Table_285" name="Table_285" id="285">
  <tableColumns count="3">
    <tableColumn name="Column1" id="1"/>
    <tableColumn name="Column2" id="2"/>
    <tableColumn name="Column3" id="3"/>
  </tableColumns>
  <tableStyleInfo name="8°D-style 18" showColumnStripes="0" showFirstColumn="1" showLastColumn="1" showRowStripes="1"/>
</table>
</file>

<file path=xl/tables/table286.xml><?xml version="1.0" encoding="utf-8"?>
<table xmlns="http://schemas.openxmlformats.org/spreadsheetml/2006/main" headerRowCount="0" ref="K10:W10" displayName="Table_286" name="Table_286" id="286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8°D-style 19" showColumnStripes="0" showFirstColumn="1" showLastColumn="1" showRowStripes="1"/>
</table>
</file>

<file path=xl/tables/table287.xml><?xml version="1.0" encoding="utf-8"?>
<table xmlns="http://schemas.openxmlformats.org/spreadsheetml/2006/main" headerRowCount="0" ref="AA10:AR10" displayName="Table_287" name="Table_287" id="287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8°D-style 20" showColumnStripes="0" showFirstColumn="1" showLastColumn="1" showRowStripes="1"/>
</table>
</file>

<file path=xl/tables/table288.xml><?xml version="1.0" encoding="utf-8"?>
<table xmlns="http://schemas.openxmlformats.org/spreadsheetml/2006/main" headerRowCount="0" ref="AT10:AU10" displayName="Table_288" name="Table_288" id="288">
  <tableColumns count="2">
    <tableColumn name="Column1" id="1"/>
    <tableColumn name="Column2" id="2"/>
  </tableColumns>
  <tableStyleInfo name="8°D-style 21" showColumnStripes="0" showFirstColumn="1" showLastColumn="1" showRowStripes="1"/>
</table>
</file>

<file path=xl/tables/table289.xml><?xml version="1.0" encoding="utf-8"?>
<table xmlns="http://schemas.openxmlformats.org/spreadsheetml/2006/main" headerRowCount="0" ref="B11:D11" displayName="Table_289" name="Table_289" id="289">
  <tableColumns count="3">
    <tableColumn name="Column1" id="1"/>
    <tableColumn name="Column2" id="2"/>
    <tableColumn name="Column3" id="3"/>
  </tableColumns>
  <tableStyleInfo name="8°D-style 22" showColumnStripes="0" showFirstColumn="1" showLastColumn="1" showRowStripes="1"/>
</table>
</file>

<file path=xl/tables/table290.xml><?xml version="1.0" encoding="utf-8"?>
<table xmlns="http://schemas.openxmlformats.org/spreadsheetml/2006/main" headerRowCount="0" ref="K11:W11" displayName="Table_290" name="Table_290" id="290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8°D-style 23" showColumnStripes="0" showFirstColumn="1" showLastColumn="1" showRowStripes="1"/>
</table>
</file>

<file path=xl/tables/table291.xml><?xml version="1.0" encoding="utf-8"?>
<table xmlns="http://schemas.openxmlformats.org/spreadsheetml/2006/main" headerRowCount="0" ref="AA11:AR11" displayName="Table_291" name="Table_291" id="29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8°D-style 24" showColumnStripes="0" showFirstColumn="1" showLastColumn="1" showRowStripes="1"/>
</table>
</file>

<file path=xl/tables/table292.xml><?xml version="1.0" encoding="utf-8"?>
<table xmlns="http://schemas.openxmlformats.org/spreadsheetml/2006/main" headerRowCount="0" ref="AT11:AU11" displayName="Table_292" name="Table_292" id="292">
  <tableColumns count="2">
    <tableColumn name="Column1" id="1"/>
    <tableColumn name="Column2" id="2"/>
  </tableColumns>
  <tableStyleInfo name="8°D-style 25" showColumnStripes="0" showFirstColumn="1" showLastColumn="1" showRowStripes="1"/>
</table>
</file>

<file path=xl/tables/table293.xml><?xml version="1.0" encoding="utf-8"?>
<table xmlns="http://schemas.openxmlformats.org/spreadsheetml/2006/main" headerRowCount="0" ref="B12:D12" displayName="Table_293" name="Table_293" id="293">
  <tableColumns count="3">
    <tableColumn name="Column1" id="1"/>
    <tableColumn name="Column2" id="2"/>
    <tableColumn name="Column3" id="3"/>
  </tableColumns>
  <tableStyleInfo name="8°D-style 26" showColumnStripes="0" showFirstColumn="1" showLastColumn="1" showRowStripes="1"/>
</table>
</file>

<file path=xl/tables/table294.xml><?xml version="1.0" encoding="utf-8"?>
<table xmlns="http://schemas.openxmlformats.org/spreadsheetml/2006/main" headerRowCount="0" ref="K12:W12" displayName="Table_294" name="Table_294" id="294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8°D-style 27" showColumnStripes="0" showFirstColumn="1" showLastColumn="1" showRowStripes="1"/>
</table>
</file>

<file path=xl/tables/table295.xml><?xml version="1.0" encoding="utf-8"?>
<table xmlns="http://schemas.openxmlformats.org/spreadsheetml/2006/main" headerRowCount="0" ref="Z12:AR12" displayName="Table_295" name="Table_295" id="295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8°D-style 28" showColumnStripes="0" showFirstColumn="1" showLastColumn="1" showRowStripes="1"/>
</table>
</file>

<file path=xl/tables/table296.xml><?xml version="1.0" encoding="utf-8"?>
<table xmlns="http://schemas.openxmlformats.org/spreadsheetml/2006/main" headerRowCount="0" ref="AT12:AU12" displayName="Table_296" name="Table_296" id="296">
  <tableColumns count="2">
    <tableColumn name="Column1" id="1"/>
    <tableColumn name="Column2" id="2"/>
  </tableColumns>
  <tableStyleInfo name="8°D-style 29" showColumnStripes="0" showFirstColumn="1" showLastColumn="1" showRowStripes="1"/>
</table>
</file>

<file path=xl/tables/table297.xml><?xml version="1.0" encoding="utf-8"?>
<table xmlns="http://schemas.openxmlformats.org/spreadsheetml/2006/main" headerRowCount="0" ref="B13:D13" displayName="Table_297" name="Table_297" id="297">
  <tableColumns count="3">
    <tableColumn name="Column1" id="1"/>
    <tableColumn name="Column2" id="2"/>
    <tableColumn name="Column3" id="3"/>
  </tableColumns>
  <tableStyleInfo name="8°D-style 30" showColumnStripes="0" showFirstColumn="1" showLastColumn="1" showRowStripes="1"/>
</table>
</file>

<file path=xl/tables/table298.xml><?xml version="1.0" encoding="utf-8"?>
<table xmlns="http://schemas.openxmlformats.org/spreadsheetml/2006/main" headerRowCount="0" ref="K13:W13" displayName="Table_298" name="Table_298" id="298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8°D-style 31" showColumnStripes="0" showFirstColumn="1" showLastColumn="1" showRowStripes="1"/>
</table>
</file>

<file path=xl/tables/table299.xml><?xml version="1.0" encoding="utf-8"?>
<table xmlns="http://schemas.openxmlformats.org/spreadsheetml/2006/main" headerRowCount="0" ref="Z13:AR13" displayName="Table_299" name="Table_299" id="299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8°D-style 32" showColumnStripes="0" showFirstColumn="1" showLastColumn="1" showRowStripes="1"/>
</table>
</file>

<file path=xl/tables/table300.xml><?xml version="1.0" encoding="utf-8"?>
<table xmlns="http://schemas.openxmlformats.org/spreadsheetml/2006/main" headerRowCount="0" ref="AT13:AU13" displayName="Table_300" name="Table_300" id="300">
  <tableColumns count="2">
    <tableColumn name="Column1" id="1"/>
    <tableColumn name="Column2" id="2"/>
  </tableColumns>
  <tableStyleInfo name="8°D-style 33" showColumnStripes="0" showFirstColumn="1" showLastColumn="1" showRowStripes="1"/>
</table>
</file>

<file path=xl/tables/table301.xml><?xml version="1.0" encoding="utf-8"?>
<table xmlns="http://schemas.openxmlformats.org/spreadsheetml/2006/main" headerRowCount="0" ref="B14:D14" displayName="Table_301" name="Table_301" id="301">
  <tableColumns count="3">
    <tableColumn name="Column1" id="1"/>
    <tableColumn name="Column2" id="2"/>
    <tableColumn name="Column3" id="3"/>
  </tableColumns>
  <tableStyleInfo name="8°D-style 34" showColumnStripes="0" showFirstColumn="1" showLastColumn="1" showRowStripes="1"/>
</table>
</file>

<file path=xl/tables/table302.xml><?xml version="1.0" encoding="utf-8"?>
<table xmlns="http://schemas.openxmlformats.org/spreadsheetml/2006/main" headerRowCount="0" ref="K14:W14" displayName="Table_302" name="Table_302" id="30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8°D-style 35" showColumnStripes="0" showFirstColumn="1" showLastColumn="1" showRowStripes="1"/>
</table>
</file>

<file path=xl/tables/table303.xml><?xml version="1.0" encoding="utf-8"?>
<table xmlns="http://schemas.openxmlformats.org/spreadsheetml/2006/main" headerRowCount="0" ref="AA14:AR14" displayName="Table_303" name="Table_303" id="30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8°D-style 36" showColumnStripes="0" showFirstColumn="1" showLastColumn="1" showRowStripes="1"/>
</table>
</file>

<file path=xl/tables/table304.xml><?xml version="1.0" encoding="utf-8"?>
<table xmlns="http://schemas.openxmlformats.org/spreadsheetml/2006/main" headerRowCount="0" ref="AT14:AU14" displayName="Table_304" name="Table_304" id="304">
  <tableColumns count="2">
    <tableColumn name="Column1" id="1"/>
    <tableColumn name="Column2" id="2"/>
  </tableColumns>
  <tableStyleInfo name="8°D-style 37" showColumnStripes="0" showFirstColumn="1" showLastColumn="1" showRowStripes="1"/>
</table>
</file>

<file path=xl/tables/table305.xml><?xml version="1.0" encoding="utf-8"?>
<table xmlns="http://schemas.openxmlformats.org/spreadsheetml/2006/main" headerRowCount="0" ref="B15:D15" displayName="Table_305" name="Table_305" id="305">
  <tableColumns count="3">
    <tableColumn name="Column1" id="1"/>
    <tableColumn name="Column2" id="2"/>
    <tableColumn name="Column3" id="3"/>
  </tableColumns>
  <tableStyleInfo name="8°D-style 38" showColumnStripes="0" showFirstColumn="1" showLastColumn="1" showRowStripes="1"/>
</table>
</file>

<file path=xl/tables/table306.xml><?xml version="1.0" encoding="utf-8"?>
<table xmlns="http://schemas.openxmlformats.org/spreadsheetml/2006/main" headerRowCount="0" ref="K15:W15" displayName="Table_306" name="Table_306" id="306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8°D-style 39" showColumnStripes="0" showFirstColumn="1" showLastColumn="1" showRowStripes="1"/>
</table>
</file>

<file path=xl/tables/table307.xml><?xml version="1.0" encoding="utf-8"?>
<table xmlns="http://schemas.openxmlformats.org/spreadsheetml/2006/main" headerRowCount="0" ref="AA15:AR15" displayName="Table_307" name="Table_307" id="307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8°D-style 40" showColumnStripes="0" showFirstColumn="1" showLastColumn="1" showRowStripes="1"/>
</table>
</file>

<file path=xl/tables/table308.xml><?xml version="1.0" encoding="utf-8"?>
<table xmlns="http://schemas.openxmlformats.org/spreadsheetml/2006/main" headerRowCount="0" ref="AT15:AU15" displayName="Table_308" name="Table_308" id="308">
  <tableColumns count="2">
    <tableColumn name="Column1" id="1"/>
    <tableColumn name="Column2" id="2"/>
  </tableColumns>
  <tableStyleInfo name="8°D-style 41" showColumnStripes="0" showFirstColumn="1" showLastColumn="1" showRowStripes="1"/>
</table>
</file>

<file path=xl/tables/table309.xml><?xml version="1.0" encoding="utf-8"?>
<table xmlns="http://schemas.openxmlformats.org/spreadsheetml/2006/main" headerRowCount="0" ref="B16:W16" displayName="Table_309" name="Table_309" id="309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8°D-style 42" showColumnStripes="0" showFirstColumn="1" showLastColumn="1" showRowStripes="1"/>
</table>
</file>

<file path=xl/tables/table310.xml><?xml version="1.0" encoding="utf-8"?>
<table xmlns="http://schemas.openxmlformats.org/spreadsheetml/2006/main" headerRowCount="0" ref="AA16:AR16" displayName="Table_310" name="Table_310" id="310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8°D-style 43" showColumnStripes="0" showFirstColumn="1" showLastColumn="1" showRowStripes="1"/>
</table>
</file>

<file path=xl/tables/table311.xml><?xml version="1.0" encoding="utf-8"?>
<table xmlns="http://schemas.openxmlformats.org/spreadsheetml/2006/main" headerRowCount="0" ref="AT16:AU16" displayName="Table_311" name="Table_311" id="311">
  <tableColumns count="2">
    <tableColumn name="Column1" id="1"/>
    <tableColumn name="Column2" id="2"/>
  </tableColumns>
  <tableStyleInfo name="8°D-style 44" showColumnStripes="0" showFirstColumn="1" showLastColumn="1" showRowStripes="1"/>
</table>
</file>

<file path=xl/tables/table312.xml><?xml version="1.0" encoding="utf-8"?>
<table xmlns="http://schemas.openxmlformats.org/spreadsheetml/2006/main" headerRowCount="0" ref="B17:D17" displayName="Table_312" name="Table_312" id="312">
  <tableColumns count="3">
    <tableColumn name="Column1" id="1"/>
    <tableColumn name="Column2" id="2"/>
    <tableColumn name="Column3" id="3"/>
  </tableColumns>
  <tableStyleInfo name="8°D-style 45" showColumnStripes="0" showFirstColumn="1" showLastColumn="1" showRowStripes="1"/>
</table>
</file>

<file path=xl/tables/table313.xml><?xml version="1.0" encoding="utf-8"?>
<table xmlns="http://schemas.openxmlformats.org/spreadsheetml/2006/main" headerRowCount="0" ref="K17:W17" displayName="Table_313" name="Table_313" id="31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8°D-style 46" showColumnStripes="0" showFirstColumn="1" showLastColumn="1" showRowStripes="1"/>
</table>
</file>

<file path=xl/tables/table314.xml><?xml version="1.0" encoding="utf-8"?>
<table xmlns="http://schemas.openxmlformats.org/spreadsheetml/2006/main" headerRowCount="0" ref="AA17:AR17" displayName="Table_314" name="Table_314" id="31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8°D-style 47" showColumnStripes="0" showFirstColumn="1" showLastColumn="1" showRowStripes="1"/>
</table>
</file>

<file path=xl/tables/table315.xml><?xml version="1.0" encoding="utf-8"?>
<table xmlns="http://schemas.openxmlformats.org/spreadsheetml/2006/main" headerRowCount="0" ref="AT17:AU17" displayName="Table_315" name="Table_315" id="315">
  <tableColumns count="2">
    <tableColumn name="Column1" id="1"/>
    <tableColumn name="Column2" id="2"/>
  </tableColumns>
  <tableStyleInfo name="8°D-style 48" showColumnStripes="0" showFirstColumn="1" showLastColumn="1" showRowStripes="1"/>
</table>
</file>

<file path=xl/tables/table316.xml><?xml version="1.0" encoding="utf-8"?>
<table xmlns="http://schemas.openxmlformats.org/spreadsheetml/2006/main" headerRowCount="0" ref="B18:D18" displayName="Table_316" name="Table_316" id="316">
  <tableColumns count="3">
    <tableColumn name="Column1" id="1"/>
    <tableColumn name="Column2" id="2"/>
    <tableColumn name="Column3" id="3"/>
  </tableColumns>
  <tableStyleInfo name="8°D-style 49" showColumnStripes="0" showFirstColumn="1" showLastColumn="1" showRowStripes="1"/>
</table>
</file>

<file path=xl/tables/table317.xml><?xml version="1.0" encoding="utf-8"?>
<table xmlns="http://schemas.openxmlformats.org/spreadsheetml/2006/main" headerRowCount="0" ref="K18:W18" displayName="Table_317" name="Table_317" id="317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8°D-style 50" showColumnStripes="0" showFirstColumn="1" showLastColumn="1" showRowStripes="1"/>
</table>
</file>

<file path=xl/tables/table318.xml><?xml version="1.0" encoding="utf-8"?>
<table xmlns="http://schemas.openxmlformats.org/spreadsheetml/2006/main" headerRowCount="0" ref="AA18:AR18" displayName="Table_318" name="Table_318" id="318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8°D-style 51" showColumnStripes="0" showFirstColumn="1" showLastColumn="1" showRowStripes="1"/>
</table>
</file>

<file path=xl/tables/table319.xml><?xml version="1.0" encoding="utf-8"?>
<table xmlns="http://schemas.openxmlformats.org/spreadsheetml/2006/main" headerRowCount="0" ref="AT18:AU18" displayName="Table_319" name="Table_319" id="319">
  <tableColumns count="2">
    <tableColumn name="Column1" id="1"/>
    <tableColumn name="Column2" id="2"/>
  </tableColumns>
  <tableStyleInfo name="8°D-style 52" showColumnStripes="0" showFirstColumn="1" showLastColumn="1" showRowStripes="1"/>
</table>
</file>

<file path=xl/tables/table320.xml><?xml version="1.0" encoding="utf-8"?>
<table xmlns="http://schemas.openxmlformats.org/spreadsheetml/2006/main" headerRowCount="0" ref="B19:D19" displayName="Table_320" name="Table_320" id="320">
  <tableColumns count="3">
    <tableColumn name="Column1" id="1"/>
    <tableColumn name="Column2" id="2"/>
    <tableColumn name="Column3" id="3"/>
  </tableColumns>
  <tableStyleInfo name="8°D-style 53" showColumnStripes="0" showFirstColumn="1" showLastColumn="1" showRowStripes="1"/>
</table>
</file>

<file path=xl/tables/table321.xml><?xml version="1.0" encoding="utf-8"?>
<table xmlns="http://schemas.openxmlformats.org/spreadsheetml/2006/main" headerRowCount="0" ref="K19:W19" displayName="Table_321" name="Table_321" id="32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8°D-style 54" showColumnStripes="0" showFirstColumn="1" showLastColumn="1" showRowStripes="1"/>
</table>
</file>

<file path=xl/tables/table322.xml><?xml version="1.0" encoding="utf-8"?>
<table xmlns="http://schemas.openxmlformats.org/spreadsheetml/2006/main" headerRowCount="0" ref="AA19:AR19" displayName="Table_322" name="Table_322" id="32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8°D-style 55" showColumnStripes="0" showFirstColumn="1" showLastColumn="1" showRowStripes="1"/>
</table>
</file>

<file path=xl/tables/table323.xml><?xml version="1.0" encoding="utf-8"?>
<table xmlns="http://schemas.openxmlformats.org/spreadsheetml/2006/main" headerRowCount="0" ref="AT19:AU19" displayName="Table_323" name="Table_323" id="323">
  <tableColumns count="2">
    <tableColumn name="Column1" id="1"/>
    <tableColumn name="Column2" id="2"/>
  </tableColumns>
  <tableStyleInfo name="8°D-style 56" showColumnStripes="0" showFirstColumn="1" showLastColumn="1" showRowStripes="1"/>
</table>
</file>

<file path=xl/tables/table324.xml><?xml version="1.0" encoding="utf-8"?>
<table xmlns="http://schemas.openxmlformats.org/spreadsheetml/2006/main" headerRowCount="0" ref="B20:D20" displayName="Table_324" name="Table_324" id="324">
  <tableColumns count="3">
    <tableColumn name="Column1" id="1"/>
    <tableColumn name="Column2" id="2"/>
    <tableColumn name="Column3" id="3"/>
  </tableColumns>
  <tableStyleInfo name="8°D-style 57" showColumnStripes="0" showFirstColumn="1" showLastColumn="1" showRowStripes="1"/>
</table>
</file>

<file path=xl/tables/table325.xml><?xml version="1.0" encoding="utf-8"?>
<table xmlns="http://schemas.openxmlformats.org/spreadsheetml/2006/main" headerRowCount="0" ref="K20:W20" displayName="Table_325" name="Table_325" id="325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8°D-style 58" showColumnStripes="0" showFirstColumn="1" showLastColumn="1" showRowStripes="1"/>
</table>
</file>

<file path=xl/tables/table326.xml><?xml version="1.0" encoding="utf-8"?>
<table xmlns="http://schemas.openxmlformats.org/spreadsheetml/2006/main" headerRowCount="0" ref="AA20:AR20" displayName="Table_326" name="Table_326" id="326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8°D-style 59" showColumnStripes="0" showFirstColumn="1" showLastColumn="1" showRowStripes="1"/>
</table>
</file>

<file path=xl/tables/table327.xml><?xml version="1.0" encoding="utf-8"?>
<table xmlns="http://schemas.openxmlformats.org/spreadsheetml/2006/main" headerRowCount="0" ref="AT20:AU20" displayName="Table_328" name="Table_328" id="328">
  <tableColumns count="2">
    <tableColumn name="Column1" id="1"/>
    <tableColumn name="Column2" id="2"/>
  </tableColumns>
  <tableStyleInfo name="8°D-style 60" showColumnStripes="0" showFirstColumn="1" showLastColumn="1" showRowStripes="1"/>
</table>
</file>

<file path=xl/tables/table328.xml><?xml version="1.0" encoding="utf-8"?>
<table xmlns="http://schemas.openxmlformats.org/spreadsheetml/2006/main" headerRowCount="0" ref="B21:D21" displayName="Table_329" name="Table_329" id="329">
  <tableColumns count="3">
    <tableColumn name="Column1" id="1"/>
    <tableColumn name="Column2" id="2"/>
    <tableColumn name="Column3" id="3"/>
  </tableColumns>
  <tableStyleInfo name="8°D-style 61" showColumnStripes="0" showFirstColumn="1" showLastColumn="1" showRowStripes="1"/>
</table>
</file>

<file path=xl/tables/table329.xml><?xml version="1.0" encoding="utf-8"?>
<table xmlns="http://schemas.openxmlformats.org/spreadsheetml/2006/main" headerRowCount="0" ref="K21:W21" displayName="Table_330" name="Table_330" id="330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8°D-style 62" showColumnStripes="0" showFirstColumn="1" showLastColumn="1" showRowStripes="1"/>
</table>
</file>

<file path=xl/tables/table330.xml><?xml version="1.0" encoding="utf-8"?>
<table xmlns="http://schemas.openxmlformats.org/spreadsheetml/2006/main" headerRowCount="0" ref="Z21:AR21" displayName="Table_332" name="Table_332" id="332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8°D-style 63" showColumnStripes="0" showFirstColumn="1" showLastColumn="1" showRowStripes="1"/>
</table>
</file>

<file path=xl/tables/table331.xml><?xml version="1.0" encoding="utf-8"?>
<table xmlns="http://schemas.openxmlformats.org/spreadsheetml/2006/main" headerRowCount="0" ref="AT21:AU21" displayName="Table_334" name="Table_334" id="334">
  <tableColumns count="2">
    <tableColumn name="Column1" id="1"/>
    <tableColumn name="Column2" id="2"/>
  </tableColumns>
  <tableStyleInfo name="8°D-style 64" showColumnStripes="0" showFirstColumn="1" showLastColumn="1" showRowStripes="1"/>
</table>
</file>

<file path=xl/tables/table332.xml><?xml version="1.0" encoding="utf-8"?>
<table xmlns="http://schemas.openxmlformats.org/spreadsheetml/2006/main" headerRowCount="0" ref="B22:W22" displayName="Table_336" name="Table_336" id="336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8°D-style 65" showColumnStripes="0" showFirstColumn="1" showLastColumn="1" showRowStripes="1"/>
</table>
</file>

<file path=xl/tables/table333.xml><?xml version="1.0" encoding="utf-8"?>
<table xmlns="http://schemas.openxmlformats.org/spreadsheetml/2006/main" headerRowCount="0" ref="Z22:AR22" displayName="Table_338" name="Table_338" id="338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8°D-style 66" showColumnStripes="0" showFirstColumn="1" showLastColumn="1" showRowStripes="1"/>
</table>
</file>

<file path=xl/tables/table334.xml><?xml version="1.0" encoding="utf-8"?>
<table xmlns="http://schemas.openxmlformats.org/spreadsheetml/2006/main" headerRowCount="0" ref="AT22:AU22" displayName="Table_341" name="Table_341" id="340">
  <tableColumns count="2">
    <tableColumn name="Column1" id="1"/>
    <tableColumn name="Column2" id="2"/>
  </tableColumns>
  <tableStyleInfo name="8°D-style 67" showColumnStripes="0" showFirstColumn="1" showLastColumn="1" showRowStripes="1"/>
</table>
</file>

<file path=xl/tables/table335.xml><?xml version="1.0" encoding="utf-8"?>
<table xmlns="http://schemas.openxmlformats.org/spreadsheetml/2006/main" headerRowCount="0" ref="AR23" displayName="Table_343" name="Table_343" id="343">
  <tableColumns count="1">
    <tableColumn name="Column1" id="1"/>
  </tableColumns>
  <tableStyleInfo name="8°D-style 68" showColumnStripes="0" showFirstColumn="1" showLastColumn="1" showRowStripes="1"/>
</table>
</file>

<file path=xl/tables/table336.xml><?xml version="1.0" encoding="utf-8"?>
<table xmlns="http://schemas.openxmlformats.org/spreadsheetml/2006/main" headerRowCount="0" ref="B24:D25" displayName="Table_345" name="Table_345" id="345">
  <tableColumns count="3">
    <tableColumn name="Column1" id="1"/>
    <tableColumn name="Column2" id="2"/>
    <tableColumn name="Column3" id="3"/>
  </tableColumns>
  <tableStyleInfo name="8°D-style 69" showColumnStripes="0" showFirstColumn="1" showLastColumn="1" showRowStripes="1"/>
</table>
</file>

<file path=xl/tables/table337.xml><?xml version="1.0" encoding="utf-8"?>
<table xmlns="http://schemas.openxmlformats.org/spreadsheetml/2006/main" headerRowCount="0" ref="K24:W25" displayName="Table_346" name="Table_346" id="346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8°D-style 70" showColumnStripes="0" showFirstColumn="1" showLastColumn="1" showRowStripes="1"/>
</table>
</file>

<file path=xl/tables/table338.xml><?xml version="1.0" encoding="utf-8"?>
<table xmlns="http://schemas.openxmlformats.org/spreadsheetml/2006/main" headerRowCount="0" ref="AA24:AR25" displayName="Table_348" name="Table_348" id="348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8°D-style 71" showColumnStripes="0" showFirstColumn="1" showLastColumn="1" showRowStripes="1"/>
</table>
</file>

<file path=xl/tables/table339.xml><?xml version="1.0" encoding="utf-8"?>
<table xmlns="http://schemas.openxmlformats.org/spreadsheetml/2006/main" headerRowCount="0" ref="AT24:AU25" displayName="Table_350" name="Table_350" id="350">
  <tableColumns count="2">
    <tableColumn name="Column1" id="1"/>
    <tableColumn name="Column2" id="2"/>
  </tableColumns>
  <tableStyleInfo name="8°D-style 72" showColumnStripes="0" showFirstColumn="1" showLastColumn="1" showRowStripes="1"/>
</table>
</file>

<file path=xl/tables/table340.xml><?xml version="1.0" encoding="utf-8"?>
<table xmlns="http://schemas.openxmlformats.org/spreadsheetml/2006/main" headerRowCount="0" ref="B26:W33" displayName="Table_352" name="Table_352" id="352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8°D-style 73" showColumnStripes="0" showFirstColumn="1" showLastColumn="1" showRowStripes="1"/>
</table>
</file>

<file path=xl/tables/table341.xml><?xml version="1.0" encoding="utf-8"?>
<table xmlns="http://schemas.openxmlformats.org/spreadsheetml/2006/main" headerRowCount="0" ref="Z26:AR26" displayName="Table_354" name="Table_354" id="354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8°D-style 74" showColumnStripes="0" showFirstColumn="1" showLastColumn="1" showRowStripes="1"/>
</table>
</file>

<file path=xl/tables/table342.xml><?xml version="1.0" encoding="utf-8"?>
<table xmlns="http://schemas.openxmlformats.org/spreadsheetml/2006/main" headerRowCount="0" ref="AT26:AU26" displayName="Table_356" name="Table_356" id="356">
  <tableColumns count="2">
    <tableColumn name="Column1" id="1"/>
    <tableColumn name="Column2" id="2"/>
  </tableColumns>
  <tableStyleInfo name="8°D-style 75" showColumnStripes="0" showFirstColumn="1" showLastColumn="1" showRowStripes="1"/>
</table>
</file>

<file path=xl/tables/table343.xml><?xml version="1.0" encoding="utf-8"?>
<table xmlns="http://schemas.openxmlformats.org/spreadsheetml/2006/main" headerRowCount="0" ref="BG26:BQ26" displayName="Table_358" name="Table_358" id="35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8°D-style 76" showColumnStripes="0" showFirstColumn="1" showLastColumn="1" showRowStripes="1"/>
</table>
</file>

<file path=xl/tables/table344.xml><?xml version="1.0" encoding="utf-8"?>
<table xmlns="http://schemas.openxmlformats.org/spreadsheetml/2006/main" headerRowCount="0" ref="BR26:BW26" displayName="Table_359" name="Table_359" id="35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8°D-style 77" showColumnStripes="0" showFirstColumn="1" showLastColumn="1" showRowStripes="1"/>
</table>
</file>

<file path=xl/tables/table345.xml><?xml version="1.0" encoding="utf-8"?>
<table xmlns="http://schemas.openxmlformats.org/spreadsheetml/2006/main" headerRowCount="0" ref="BY26" displayName="Table_361" name="Table_361" id="361">
  <tableColumns count="1">
    <tableColumn name="Column1" id="1"/>
  </tableColumns>
  <tableStyleInfo name="8°D-style 78" showColumnStripes="0" showFirstColumn="1" showLastColumn="1" showRowStripes="1"/>
</table>
</file>

<file path=xl/tables/table346.xml><?xml version="1.0" encoding="utf-8"?>
<table xmlns="http://schemas.openxmlformats.org/spreadsheetml/2006/main" headerRowCount="0" ref="AR28" displayName="Table_363" name="Table_363" id="363">
  <tableColumns count="1">
    <tableColumn name="Column1" id="1"/>
  </tableColumns>
  <tableStyleInfo name="8°D-style 79" showColumnStripes="0" showFirstColumn="1" showLastColumn="1" showRowStripes="1"/>
</table>
</file>

<file path=xl/tables/table347.xml><?xml version="1.0" encoding="utf-8"?>
<table xmlns="http://schemas.openxmlformats.org/spreadsheetml/2006/main" headerRowCount="0" ref="Z30:AR30" displayName="Table_364" name="Table_364" id="364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8°D-style 80" showColumnStripes="0" showFirstColumn="1" showLastColumn="1" showRowStripes="1"/>
</table>
</file>

<file path=xl/tables/table348.xml><?xml version="1.0" encoding="utf-8"?>
<table xmlns="http://schemas.openxmlformats.org/spreadsheetml/2006/main" headerRowCount="0" ref="AT30:AU30" displayName="Table_366" name="Table_366" id="366">
  <tableColumns count="2">
    <tableColumn name="Column1" id="1"/>
    <tableColumn name="Column2" id="2"/>
  </tableColumns>
  <tableStyleInfo name="8°D-style 81" showColumnStripes="0" showFirstColumn="1" showLastColumn="1" showRowStripes="1"/>
</table>
</file>

<file path=xl/tables/table349.xml><?xml version="1.0" encoding="utf-8"?>
<table xmlns="http://schemas.openxmlformats.org/spreadsheetml/2006/main" headerRowCount="0" ref="B5:E5" displayName="Table_327" name="Table_327" id="327">
  <tableColumns count="4">
    <tableColumn name="Column1" id="1"/>
    <tableColumn name="Column2" id="2"/>
    <tableColumn name="Column3" id="3"/>
    <tableColumn name="Column4" id="4"/>
  </tableColumns>
  <tableStyleInfo name="8°E-style" showColumnStripes="0" showFirstColumn="1" showLastColumn="1" showRowStripes="1"/>
</table>
</file>

<file path=xl/tables/table350.xml><?xml version="1.0" encoding="utf-8"?>
<table xmlns="http://schemas.openxmlformats.org/spreadsheetml/2006/main" headerRowCount="0" ref="B7:E7" displayName="Table_331" name="Table_331" id="331">
  <tableColumns count="4">
    <tableColumn name="Column1" id="1"/>
    <tableColumn name="Column2" id="2"/>
    <tableColumn name="Column3" id="3"/>
    <tableColumn name="Column4" id="4"/>
  </tableColumns>
  <tableStyleInfo name="8°E-style 2" showColumnStripes="0" showFirstColumn="1" showLastColumn="1" showRowStripes="1"/>
</table>
</file>

<file path=xl/tables/table351.xml><?xml version="1.0" encoding="utf-8"?>
<table xmlns="http://schemas.openxmlformats.org/spreadsheetml/2006/main" headerRowCount="0" ref="B8:E8" displayName="Table_333" name="Table_333" id="333">
  <tableColumns count="4">
    <tableColumn name="Column1" id="1"/>
    <tableColumn name="Column2" id="2"/>
    <tableColumn name="Column3" id="3"/>
    <tableColumn name="Column4" id="4"/>
  </tableColumns>
  <tableStyleInfo name="8°E-style 3" showColumnStripes="0" showFirstColumn="1" showLastColumn="1" showRowStripes="1"/>
</table>
</file>

<file path=xl/tables/table352.xml><?xml version="1.0" encoding="utf-8"?>
<table xmlns="http://schemas.openxmlformats.org/spreadsheetml/2006/main" headerRowCount="0" ref="B9:F9" displayName="Table_335" name="Table_335" id="335">
  <tableColumns count="5">
    <tableColumn name="Column1" id="1"/>
    <tableColumn name="Column2" id="2"/>
    <tableColumn name="Column3" id="3"/>
    <tableColumn name="Column4" id="4"/>
    <tableColumn name="Column5" id="5"/>
  </tableColumns>
  <tableStyleInfo name="8°E-style 4" showColumnStripes="0" showFirstColumn="1" showLastColumn="1" showRowStripes="1"/>
</table>
</file>

<file path=xl/tables/table353.xml><?xml version="1.0" encoding="utf-8"?>
<table xmlns="http://schemas.openxmlformats.org/spreadsheetml/2006/main" headerRowCount="0" ref="B10" displayName="Table_337" name="Table_337" id="337">
  <tableColumns count="1">
    <tableColumn name="Column1" id="1"/>
  </tableColumns>
  <tableStyleInfo name="8°E-style 5" showColumnStripes="0" showFirstColumn="1" showLastColumn="1" showRowStripes="1"/>
</table>
</file>

<file path=xl/tables/table354.xml><?xml version="1.0" encoding="utf-8"?>
<table xmlns="http://schemas.openxmlformats.org/spreadsheetml/2006/main" headerRowCount="0" ref="B11:E11" displayName="Table_339" name="Table_339" id="339">
  <tableColumns count="4">
    <tableColumn name="Column1" id="1"/>
    <tableColumn name="Column2" id="2"/>
    <tableColumn name="Column3" id="3"/>
    <tableColumn name="Column4" id="4"/>
  </tableColumns>
  <tableStyleInfo name="8°E-style 6" showColumnStripes="0" showFirstColumn="1" showLastColumn="1" showRowStripes="1"/>
</table>
</file>

<file path=xl/tables/table355.xml><?xml version="1.0" encoding="utf-8"?>
<table xmlns="http://schemas.openxmlformats.org/spreadsheetml/2006/main" headerRowCount="0" ref="B13:E13" displayName="Table_340" name="Table_340" id="341">
  <tableColumns count="4">
    <tableColumn name="Column1" id="1"/>
    <tableColumn name="Column2" id="2"/>
    <tableColumn name="Column3" id="3"/>
    <tableColumn name="Column4" id="4"/>
  </tableColumns>
  <tableStyleInfo name="8°E-style 7" showColumnStripes="0" showFirstColumn="1" showLastColumn="1" showRowStripes="1"/>
</table>
</file>

<file path=xl/tables/table356.xml><?xml version="1.0" encoding="utf-8"?>
<table xmlns="http://schemas.openxmlformats.org/spreadsheetml/2006/main" headerRowCount="0" ref="B14:E14" displayName="Table_342" name="Table_342" id="342">
  <tableColumns count="4">
    <tableColumn name="Column1" id="1"/>
    <tableColumn name="Column2" id="2"/>
    <tableColumn name="Column3" id="3"/>
    <tableColumn name="Column4" id="4"/>
  </tableColumns>
  <tableStyleInfo name="8°E-style 8" showColumnStripes="0" showFirstColumn="1" showLastColumn="1" showRowStripes="1"/>
</table>
</file>

<file path=xl/tables/table357.xml><?xml version="1.0" encoding="utf-8"?>
<table xmlns="http://schemas.openxmlformats.org/spreadsheetml/2006/main" headerRowCount="0" ref="B15:E16" displayName="Table_344" name="Table_344" id="344">
  <tableColumns count="4">
    <tableColumn name="Column1" id="1"/>
    <tableColumn name="Column2" id="2"/>
    <tableColumn name="Column3" id="3"/>
    <tableColumn name="Column4" id="4"/>
  </tableColumns>
  <tableStyleInfo name="8°E-style 9" showColumnStripes="0" showFirstColumn="1" showLastColumn="1" showRowStripes="1"/>
</table>
</file>

<file path=xl/tables/table358.xml><?xml version="1.0" encoding="utf-8"?>
<table xmlns="http://schemas.openxmlformats.org/spreadsheetml/2006/main" headerRowCount="0" ref="BG16" displayName="Table_347" name="Table_347" id="347">
  <tableColumns count="1">
    <tableColumn name="Column1" id="1"/>
  </tableColumns>
  <tableStyleInfo name="8°E-style 10" showColumnStripes="0" showFirstColumn="1" showLastColumn="1" showRowStripes="1"/>
</table>
</file>

<file path=xl/tables/table359.xml><?xml version="1.0" encoding="utf-8"?>
<table xmlns="http://schemas.openxmlformats.org/spreadsheetml/2006/main" headerRowCount="0" ref="BH16" displayName="Table_349" name="Table_349" id="349">
  <tableColumns count="1">
    <tableColumn name="Column1" id="1"/>
  </tableColumns>
  <tableStyleInfo name="8°E-style 11" showColumnStripes="0" showFirstColumn="1" showLastColumn="1" showRowStripes="1"/>
</table>
</file>

<file path=xl/tables/table360.xml><?xml version="1.0" encoding="utf-8"?>
<table xmlns="http://schemas.openxmlformats.org/spreadsheetml/2006/main" headerRowCount="0" ref="BI16" displayName="Table_351" name="Table_351" id="351">
  <tableColumns count="1">
    <tableColumn name="Column1" id="1"/>
  </tableColumns>
  <tableStyleInfo name="8°E-style 12" showColumnStripes="0" showFirstColumn="1" showLastColumn="1" showRowStripes="1"/>
</table>
</file>

<file path=xl/tables/table361.xml><?xml version="1.0" encoding="utf-8"?>
<table xmlns="http://schemas.openxmlformats.org/spreadsheetml/2006/main" headerRowCount="0" ref="B17:W17" displayName="Table_353" name="Table_353" id="353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8°E-style 13" showColumnStripes="0" showFirstColumn="1" showLastColumn="1" showRowStripes="1"/>
</table>
</file>

<file path=xl/tables/table362.xml><?xml version="1.0" encoding="utf-8"?>
<table xmlns="http://schemas.openxmlformats.org/spreadsheetml/2006/main" headerRowCount="0" ref="B18:F18" displayName="Table_355" name="Table_355" id="355">
  <tableColumns count="5">
    <tableColumn name="Column1" id="1"/>
    <tableColumn name="Column2" id="2"/>
    <tableColumn name="Column3" id="3"/>
    <tableColumn name="Column4" id="4"/>
    <tableColumn name="Column5" id="5"/>
  </tableColumns>
  <tableStyleInfo name="8°E-style 14" showColumnStripes="0" showFirstColumn="1" showLastColumn="1" showRowStripes="1"/>
</table>
</file>

<file path=xl/tables/table363.xml><?xml version="1.0" encoding="utf-8"?>
<table xmlns="http://schemas.openxmlformats.org/spreadsheetml/2006/main" headerRowCount="0" ref="B19:F19" displayName="Table_357" name="Table_357" id="357">
  <tableColumns count="5">
    <tableColumn name="Column1" id="1"/>
    <tableColumn name="Column2" id="2"/>
    <tableColumn name="Column3" id="3"/>
    <tableColumn name="Column4" id="4"/>
    <tableColumn name="Column5" id="5"/>
  </tableColumns>
  <tableStyleInfo name="8°E-style 15" showColumnStripes="0" showFirstColumn="1" showLastColumn="1" showRowStripes="1"/>
</table>
</file>

<file path=xl/tables/table364.xml><?xml version="1.0" encoding="utf-8"?>
<table xmlns="http://schemas.openxmlformats.org/spreadsheetml/2006/main" headerRowCount="0" ref="B20:F20" displayName="Table_360" name="Table_360" id="360">
  <tableColumns count="5">
    <tableColumn name="Column1" id="1"/>
    <tableColumn name="Column2" id="2"/>
    <tableColumn name="Column3" id="3"/>
    <tableColumn name="Column4" id="4"/>
    <tableColumn name="Column5" id="5"/>
  </tableColumns>
  <tableStyleInfo name="8°E-style 16" showColumnStripes="0" showFirstColumn="1" showLastColumn="1" showRowStripes="1"/>
</table>
</file>

<file path=xl/tables/table365.xml><?xml version="1.0" encoding="utf-8"?>
<table xmlns="http://schemas.openxmlformats.org/spreadsheetml/2006/main" headerRowCount="0" ref="B21:F22" displayName="Table_362" name="Table_362" id="362">
  <tableColumns count="5">
    <tableColumn name="Column1" id="1"/>
    <tableColumn name="Column2" id="2"/>
    <tableColumn name="Column3" id="3"/>
    <tableColumn name="Column4" id="4"/>
    <tableColumn name="Column5" id="5"/>
  </tableColumns>
  <tableStyleInfo name="8°E-style 17" showColumnStripes="0" showFirstColumn="1" showLastColumn="1" showRowStripes="1"/>
</table>
</file>

<file path=xl/tables/table366.xml><?xml version="1.0" encoding="utf-8"?>
<table xmlns="http://schemas.openxmlformats.org/spreadsheetml/2006/main" headerRowCount="0" ref="B23:W23" displayName="Table_365" name="Table_365" id="365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8°E-style 18" showColumnStripes="0" showFirstColumn="1" showLastColumn="1" showRowStripes="1"/>
</table>
</file>

<file path=xl/tables/table367.xml><?xml version="1.0" encoding="utf-8"?>
<table xmlns="http://schemas.openxmlformats.org/spreadsheetml/2006/main" headerRowCount="0" ref="B25:C26" displayName="Table_367" name="Table_367" id="367">
  <tableColumns count="2">
    <tableColumn name="Column1" id="1"/>
    <tableColumn name="Column2" id="2"/>
  </tableColumns>
  <tableStyleInfo name="8°E-style 19" showColumnStripes="0" showFirstColumn="1" showLastColumn="1" showRowStripes="1"/>
</table>
</file>

<file path=xl/tables/table368.xml><?xml version="1.0" encoding="utf-8"?>
<table xmlns="http://schemas.openxmlformats.org/spreadsheetml/2006/main" headerRowCount="0" ref="D25:E25" displayName="Table_368" name="Table_368" id="368">
  <tableColumns count="2">
    <tableColumn name="Column1" id="1"/>
    <tableColumn name="Column2" id="2"/>
  </tableColumns>
  <tableStyleInfo name="8°E-style 20" showColumnStripes="0" showFirstColumn="1" showLastColumn="1" showRowStripes="1"/>
</table>
</file>

<file path=xl/tables/table369.xml><?xml version="1.0" encoding="utf-8"?>
<table xmlns="http://schemas.openxmlformats.org/spreadsheetml/2006/main" headerRowCount="0" ref="I25" displayName="Table_369" name="Table_369" id="369">
  <tableColumns count="1">
    <tableColumn name="Column1" id="1"/>
  </tableColumns>
  <tableStyleInfo name="8°E-style 21" showColumnStripes="0" showFirstColumn="1" showLastColumn="1" showRowStripes="1"/>
</table>
</file>

<file path=xl/tables/table370.xml><?xml version="1.0" encoding="utf-8"?>
<table xmlns="http://schemas.openxmlformats.org/spreadsheetml/2006/main" headerRowCount="0" ref="J25" displayName="Table_370" name="Table_370" id="370">
  <tableColumns count="1">
    <tableColumn name="Column1" id="1"/>
  </tableColumns>
  <tableStyleInfo name="8°E-style 22" showColumnStripes="0" showFirstColumn="1" showLastColumn="1" showRowStripes="1"/>
</table>
</file>

<file path=xl/tables/table371.xml><?xml version="1.0" encoding="utf-8"?>
<table xmlns="http://schemas.openxmlformats.org/spreadsheetml/2006/main" headerRowCount="0" ref="K25" displayName="Table_371" name="Table_371" id="371">
  <tableColumns count="1">
    <tableColumn name="Column1" id="1"/>
  </tableColumns>
  <tableStyleInfo name="8°E-style 23" showColumnStripes="0" showFirstColumn="1" showLastColumn="1" showRowStripes="1"/>
</table>
</file>

<file path=xl/tables/table372.xml><?xml version="1.0" encoding="utf-8"?>
<table xmlns="http://schemas.openxmlformats.org/spreadsheetml/2006/main" headerRowCount="0" ref="AD25" displayName="Table_372" name="Table_372" id="372">
  <tableColumns count="1">
    <tableColumn name="Column1" id="1"/>
  </tableColumns>
  <tableStyleInfo name="8°E-style 24" showColumnStripes="0" showFirstColumn="1" showLastColumn="1" showRowStripes="1"/>
</table>
</file>

<file path=xl/tables/table373.xml><?xml version="1.0" encoding="utf-8"?>
<table xmlns="http://schemas.openxmlformats.org/spreadsheetml/2006/main" headerRowCount="0" ref="AE25" displayName="Table_373" name="Table_373" id="373">
  <tableColumns count="1">
    <tableColumn name="Column1" id="1"/>
  </tableColumns>
  <tableStyleInfo name="8°E-style 25" showColumnStripes="0" showFirstColumn="1" showLastColumn="1" showRowStripes="1"/>
</table>
</file>

<file path=xl/tables/table374.xml><?xml version="1.0" encoding="utf-8"?>
<table xmlns="http://schemas.openxmlformats.org/spreadsheetml/2006/main" headerRowCount="0" ref="AF25" displayName="Table_374" name="Table_374" id="374">
  <tableColumns count="1">
    <tableColumn name="Column1" id="1"/>
  </tableColumns>
  <tableStyleInfo name="8°E-style 26" showColumnStripes="0" showFirstColumn="1" showLastColumn="1" showRowStripes="1"/>
</table>
</file>

<file path=xl/tables/table375.xml><?xml version="1.0" encoding="utf-8"?>
<table xmlns="http://schemas.openxmlformats.org/spreadsheetml/2006/main" headerRowCount="0" ref="AY25" displayName="Table_375" name="Table_375" id="375">
  <tableColumns count="1">
    <tableColumn name="Column1" id="1"/>
  </tableColumns>
  <tableStyleInfo name="8°E-style 27" showColumnStripes="0" showFirstColumn="1" showLastColumn="1" showRowStripes="1"/>
</table>
</file>

<file path=xl/tables/table376.xml><?xml version="1.0" encoding="utf-8"?>
<table xmlns="http://schemas.openxmlformats.org/spreadsheetml/2006/main" headerRowCount="0" ref="AZ25" displayName="Table_376" name="Table_376" id="376">
  <tableColumns count="1">
    <tableColumn name="Column1" id="1"/>
  </tableColumns>
  <tableStyleInfo name="8°E-style 28" showColumnStripes="0" showFirstColumn="1" showLastColumn="1" showRowStripes="1"/>
</table>
</file>

<file path=xl/tables/table377.xml><?xml version="1.0" encoding="utf-8"?>
<table xmlns="http://schemas.openxmlformats.org/spreadsheetml/2006/main" headerRowCount="0" ref="BA25" displayName="Table_377" name="Table_377" id="377">
  <tableColumns count="1">
    <tableColumn name="Column1" id="1"/>
  </tableColumns>
  <tableStyleInfo name="8°E-style 29" showColumnStripes="0" showFirstColumn="1" showLastColumn="1" showRowStripes="1"/>
</table>
</file>

<file path=xl/tables/table378.xml><?xml version="1.0" encoding="utf-8"?>
<table xmlns="http://schemas.openxmlformats.org/spreadsheetml/2006/main" headerRowCount="0" ref="BG25" displayName="Table_378" name="Table_378" id="378">
  <tableColumns count="1">
    <tableColumn name="Column1" id="1"/>
  </tableColumns>
  <tableStyleInfo name="8°E-style 30" showColumnStripes="0" showFirstColumn="1" showLastColumn="1" showRowStripes="1"/>
</table>
</file>

<file path=xl/tables/table379.xml><?xml version="1.0" encoding="utf-8"?>
<table xmlns="http://schemas.openxmlformats.org/spreadsheetml/2006/main" headerRowCount="0" ref="BH25" displayName="Table_379" name="Table_379" id="379">
  <tableColumns count="1">
    <tableColumn name="Column1" id="1"/>
  </tableColumns>
  <tableStyleInfo name="8°E-style 31" showColumnStripes="0" showFirstColumn="1" showLastColumn="1" showRowStripes="1"/>
</table>
</file>

<file path=xl/tables/table380.xml><?xml version="1.0" encoding="utf-8"?>
<table xmlns="http://schemas.openxmlformats.org/spreadsheetml/2006/main" headerRowCount="0" ref="BI25" displayName="Table_380" name="Table_380" id="380">
  <tableColumns count="1">
    <tableColumn name="Column1" id="1"/>
  </tableColumns>
  <tableStyleInfo name="8°E-style 32" showColumnStripes="0" showFirstColumn="1" showLastColumn="1" showRowStripes="1"/>
</table>
</file>

<file path=xl/tables/table381.xml><?xml version="1.0" encoding="utf-8"?>
<table xmlns="http://schemas.openxmlformats.org/spreadsheetml/2006/main" headerRowCount="0" ref="BG26:BU26" displayName="Table_381" name="Table_381" id="38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8°E-style 33" showColumnStripes="0" showFirstColumn="1" showLastColumn="1" showRowStripes="1"/>
</table>
</file>

<file path=xl/tables/table382.xml><?xml version="1.0" encoding="utf-8"?>
<table xmlns="http://schemas.openxmlformats.org/spreadsheetml/2006/main" headerRowCount="0" ref="BG32" displayName="Table_382" name="Table_382" id="382">
  <tableColumns count="1">
    <tableColumn name="Column1" id="1"/>
  </tableColumns>
  <tableStyleInfo name="8°E-style 34" showColumnStripes="0" showFirstColumn="1" showLastColumn="1" showRowStripes="1"/>
</table>
</file>

<file path=xl/tables/table383.xml><?xml version="1.0" encoding="utf-8"?>
<table xmlns="http://schemas.openxmlformats.org/spreadsheetml/2006/main" headerRowCount="0" ref="BH32" displayName="Table_383" name="Table_383" id="383">
  <tableColumns count="1">
    <tableColumn name="Column1" id="1"/>
  </tableColumns>
  <tableStyleInfo name="8°E-style 35" showColumnStripes="0" showFirstColumn="1" showLastColumn="1" showRowStripes="1"/>
</table>
</file>

<file path=xl/tables/table384.xml><?xml version="1.0" encoding="utf-8"?>
<table xmlns="http://schemas.openxmlformats.org/spreadsheetml/2006/main" headerRowCount="0" ref="BI32" displayName="Table_384" name="Table_384" id="384">
  <tableColumns count="1">
    <tableColumn name="Column1" id="1"/>
  </tableColumns>
  <tableStyleInfo name="8°E-style 36" showColumnStripes="0" showFirstColumn="1" showLastColumn="1" showRowStripes="1"/>
</table>
</file>

<file path=xl/tables/table385.xml><?xml version="1.0" encoding="utf-8"?>
<table xmlns="http://schemas.openxmlformats.org/spreadsheetml/2006/main" headerRowCount="0" ref="B5:D5" displayName="Table_385" name="Table_385" id="385">
  <tableColumns count="3">
    <tableColumn name="Column1" id="1"/>
    <tableColumn name="Column2" id="2"/>
    <tableColumn name="Column3" id="3"/>
  </tableColumns>
  <tableStyleInfo name="9°A-style" showColumnStripes="0" showFirstColumn="1" showLastColumn="1" showRowStripes="1"/>
</table>
</file>

<file path=xl/tables/table386.xml><?xml version="1.0" encoding="utf-8"?>
<table xmlns="http://schemas.openxmlformats.org/spreadsheetml/2006/main" headerRowCount="0" ref="B7:D7" displayName="Table_386" name="Table_386" id="386">
  <tableColumns count="3">
    <tableColumn name="Column1" id="1"/>
    <tableColumn name="Column2" id="2"/>
    <tableColumn name="Column3" id="3"/>
  </tableColumns>
  <tableStyleInfo name="9°A-style 2" showColumnStripes="0" showFirstColumn="1" showLastColumn="1" showRowStripes="1"/>
</table>
</file>

<file path=xl/tables/table387.xml><?xml version="1.0" encoding="utf-8"?>
<table xmlns="http://schemas.openxmlformats.org/spreadsheetml/2006/main" headerRowCount="0" ref="B8:D8" displayName="Table_387" name="Table_387" id="387">
  <tableColumns count="3">
    <tableColumn name="Column1" id="1"/>
    <tableColumn name="Column2" id="2"/>
    <tableColumn name="Column3" id="3"/>
  </tableColumns>
  <tableStyleInfo name="9°A-style 3" showColumnStripes="0" showFirstColumn="1" showLastColumn="1" showRowStripes="1"/>
</table>
</file>

<file path=xl/tables/table388.xml><?xml version="1.0" encoding="utf-8"?>
<table xmlns="http://schemas.openxmlformats.org/spreadsheetml/2006/main" headerRowCount="0" ref="B9:F9" displayName="Table_388" name="Table_388" id="388">
  <tableColumns count="5">
    <tableColumn name="Column1" id="1"/>
    <tableColumn name="Column2" id="2"/>
    <tableColumn name="Column3" id="3"/>
    <tableColumn name="Column4" id="4"/>
    <tableColumn name="Column5" id="5"/>
  </tableColumns>
  <tableStyleInfo name="9°A-style 4" showColumnStripes="0" showFirstColumn="1" showLastColumn="1" showRowStripes="1"/>
</table>
</file>

<file path=xl/tables/table389.xml><?xml version="1.0" encoding="utf-8"?>
<table xmlns="http://schemas.openxmlformats.org/spreadsheetml/2006/main" headerRowCount="0" ref="B10:D10" displayName="Table_389" name="Table_389" id="389">
  <tableColumns count="3">
    <tableColumn name="Column1" id="1"/>
    <tableColumn name="Column2" id="2"/>
    <tableColumn name="Column3" id="3"/>
  </tableColumns>
  <tableStyleInfo name="9°A-style 5" showColumnStripes="0" showFirstColumn="1" showLastColumn="1" showRowStripes="1"/>
</table>
</file>

<file path=xl/tables/table390.xml><?xml version="1.0" encoding="utf-8"?>
<table xmlns="http://schemas.openxmlformats.org/spreadsheetml/2006/main" headerRowCount="0" ref="B11:D11" displayName="Table_390" name="Table_390" id="390">
  <tableColumns count="3">
    <tableColumn name="Column1" id="1"/>
    <tableColumn name="Column2" id="2"/>
    <tableColumn name="Column3" id="3"/>
  </tableColumns>
  <tableStyleInfo name="9°A-style 6" showColumnStripes="0" showFirstColumn="1" showLastColumn="1" showRowStripes="1"/>
</table>
</file>

<file path=xl/tables/table391.xml><?xml version="1.0" encoding="utf-8"?>
<table xmlns="http://schemas.openxmlformats.org/spreadsheetml/2006/main" headerRowCount="0" ref="B13:D13" displayName="Table_391" name="Table_391" id="391">
  <tableColumns count="3">
    <tableColumn name="Column1" id="1"/>
    <tableColumn name="Column2" id="2"/>
    <tableColumn name="Column3" id="3"/>
  </tableColumns>
  <tableStyleInfo name="9°A-style 7" showColumnStripes="0" showFirstColumn="1" showLastColumn="1" showRowStripes="1"/>
</table>
</file>

<file path=xl/tables/table392.xml><?xml version="1.0" encoding="utf-8"?>
<table xmlns="http://schemas.openxmlformats.org/spreadsheetml/2006/main" headerRowCount="0" ref="B14:D14" displayName="Table_392" name="Table_392" id="392">
  <tableColumns count="3">
    <tableColumn name="Column1" id="1"/>
    <tableColumn name="Column2" id="2"/>
    <tableColumn name="Column3" id="3"/>
  </tableColumns>
  <tableStyleInfo name="9°A-style 8" showColumnStripes="0" showFirstColumn="1" showLastColumn="1" showRowStripes="1"/>
</table>
</file>

<file path=xl/tables/table393.xml><?xml version="1.0" encoding="utf-8"?>
<table xmlns="http://schemas.openxmlformats.org/spreadsheetml/2006/main" headerRowCount="0" ref="B15:D15" displayName="Table_393" name="Table_393" id="393">
  <tableColumns count="3">
    <tableColumn name="Column1" id="1"/>
    <tableColumn name="Column2" id="2"/>
    <tableColumn name="Column3" id="3"/>
  </tableColumns>
  <tableStyleInfo name="9°A-style 9" showColumnStripes="0" showFirstColumn="1" showLastColumn="1" showRowStripes="1"/>
</table>
</file>

<file path=xl/tables/table394.xml><?xml version="1.0" encoding="utf-8"?>
<table xmlns="http://schemas.openxmlformats.org/spreadsheetml/2006/main" headerRowCount="0" ref="B16" displayName="Table_394" name="Table_394" id="394">
  <tableColumns count="1">
    <tableColumn name="Column1" id="1"/>
  </tableColumns>
  <tableStyleInfo name="9°A-style 10" showColumnStripes="0" showFirstColumn="1" showLastColumn="1" showRowStripes="1"/>
</table>
</file>

<file path=xl/tables/table395.xml><?xml version="1.0" encoding="utf-8"?>
<table xmlns="http://schemas.openxmlformats.org/spreadsheetml/2006/main" headerRowCount="0" ref="D16:E16" displayName="Table_395" name="Table_395" id="395">
  <tableColumns count="2">
    <tableColumn name="Column1" id="1"/>
    <tableColumn name="Column2" id="2"/>
  </tableColumns>
  <tableStyleInfo name="9°A-style 11" showColumnStripes="0" showFirstColumn="1" showLastColumn="1" showRowStripes="1"/>
</table>
</file>

<file path=xl/tables/table396.xml><?xml version="1.0" encoding="utf-8"?>
<table xmlns="http://schemas.openxmlformats.org/spreadsheetml/2006/main" headerRowCount="0" ref="R16" displayName="Table_396" name="Table_396" id="396">
  <tableColumns count="1">
    <tableColumn name="Column1" id="1"/>
  </tableColumns>
  <tableStyleInfo name="9°A-style 12" showColumnStripes="0" showFirstColumn="1" showLastColumn="1" showRowStripes="1"/>
</table>
</file>

<file path=xl/tables/table397.xml><?xml version="1.0" encoding="utf-8"?>
<table xmlns="http://schemas.openxmlformats.org/spreadsheetml/2006/main" headerRowCount="0" ref="BG16:BG21" displayName="Table_397" name="Table_397" id="397">
  <tableColumns count="1">
    <tableColumn name="Column1" id="1"/>
  </tableColumns>
  <tableStyleInfo name="9°A-style 13" showColumnStripes="0" showFirstColumn="1" showLastColumn="1" showRowStripes="1"/>
</table>
</file>

<file path=xl/tables/table398.xml><?xml version="1.0" encoding="utf-8"?>
<table xmlns="http://schemas.openxmlformats.org/spreadsheetml/2006/main" headerRowCount="0" ref="B17:D17" displayName="Table_398" name="Table_398" id="398">
  <tableColumns count="3">
    <tableColumn name="Column1" id="1"/>
    <tableColumn name="Column2" id="2"/>
    <tableColumn name="Column3" id="3"/>
  </tableColumns>
  <tableStyleInfo name="9°A-style 14" showColumnStripes="0" showFirstColumn="1" showLastColumn="1" showRowStripes="1"/>
</table>
</file>

<file path=xl/tables/table399.xml><?xml version="1.0" encoding="utf-8"?>
<table xmlns="http://schemas.openxmlformats.org/spreadsheetml/2006/main" headerRowCount="0" ref="B18:D18" displayName="Table_399" name="Table_399" id="399">
  <tableColumns count="3">
    <tableColumn name="Column1" id="1"/>
    <tableColumn name="Column2" id="2"/>
    <tableColumn name="Column3" id="3"/>
  </tableColumns>
  <tableStyleInfo name="9°A-style 15" showColumnStripes="0" showFirstColumn="1" showLastColumn="1" showRowStripes="1"/>
</table>
</file>

<file path=xl/tables/table400.xml><?xml version="1.0" encoding="utf-8"?>
<table xmlns="http://schemas.openxmlformats.org/spreadsheetml/2006/main" headerRowCount="0" ref="B19:F19" displayName="Table_400" name="Table_400" id="400">
  <tableColumns count="5">
    <tableColumn name="Column1" id="1"/>
    <tableColumn name="Column2" id="2"/>
    <tableColumn name="Column3" id="3"/>
    <tableColumn name="Column4" id="4"/>
    <tableColumn name="Column5" id="5"/>
  </tableColumns>
  <tableStyleInfo name="9°A-style 16" showColumnStripes="0" showFirstColumn="1" showLastColumn="1" showRowStripes="1"/>
</table>
</file>

<file path=xl/tables/table401.xml><?xml version="1.0" encoding="utf-8"?>
<table xmlns="http://schemas.openxmlformats.org/spreadsheetml/2006/main" headerRowCount="0" ref="B20" displayName="Table_401" name="Table_401" id="401">
  <tableColumns count="1">
    <tableColumn name="Column1" id="1"/>
  </tableColumns>
  <tableStyleInfo name="9°A-style 17" showColumnStripes="0" showFirstColumn="1" showLastColumn="1" showRowStripes="1"/>
</table>
</file>

<file path=xl/tables/table402.xml><?xml version="1.0" encoding="utf-8"?>
<table xmlns="http://schemas.openxmlformats.org/spreadsheetml/2006/main" headerRowCount="0" ref="B21:D21" displayName="Table_402" name="Table_402" id="402">
  <tableColumns count="3">
    <tableColumn name="Column1" id="1"/>
    <tableColumn name="Column2" id="2"/>
    <tableColumn name="Column3" id="3"/>
  </tableColumns>
  <tableStyleInfo name="9°A-style 18" showColumnStripes="0" showFirstColumn="1" showLastColumn="1" showRowStripes="1"/>
</table>
</file>

<file path=xl/tables/table403.xml><?xml version="1.0" encoding="utf-8"?>
<table xmlns="http://schemas.openxmlformats.org/spreadsheetml/2006/main" headerRowCount="0" ref="B22:D22" displayName="Table_403" name="Table_403" id="403">
  <tableColumns count="3">
    <tableColumn name="Column1" id="1"/>
    <tableColumn name="Column2" id="2"/>
    <tableColumn name="Column3" id="3"/>
  </tableColumns>
  <tableStyleInfo name="9°A-style 19" showColumnStripes="0" showFirstColumn="1" showLastColumn="1" showRowStripes="1"/>
</table>
</file>

<file path=xl/tables/table404.xml><?xml version="1.0" encoding="utf-8"?>
<table xmlns="http://schemas.openxmlformats.org/spreadsheetml/2006/main" headerRowCount="0" ref="B23:D23" displayName="Table_404" name="Table_404" id="404">
  <tableColumns count="3">
    <tableColumn name="Column1" id="1"/>
    <tableColumn name="Column2" id="2"/>
    <tableColumn name="Column3" id="3"/>
  </tableColumns>
  <tableStyleInfo name="9°A-style 20" showColumnStripes="0" showFirstColumn="1" showLastColumn="1" showRowStripes="1"/>
</table>
</file>

<file path=xl/tables/table405.xml><?xml version="1.0" encoding="utf-8"?>
<table xmlns="http://schemas.openxmlformats.org/spreadsheetml/2006/main" headerRowCount="0" ref="B24:D24" displayName="Table_405" name="Table_405" id="405">
  <tableColumns count="3">
    <tableColumn name="Column1" id="1"/>
    <tableColumn name="Column2" id="2"/>
    <tableColumn name="Column3" id="3"/>
  </tableColumns>
  <tableStyleInfo name="9°A-style 21" showColumnStripes="0" showFirstColumn="1" showLastColumn="1" showRowStripes="1"/>
</table>
</file>

<file path=xl/tables/table406.xml><?xml version="1.0" encoding="utf-8"?>
<table xmlns="http://schemas.openxmlformats.org/spreadsheetml/2006/main" headerRowCount="0" ref="B25:F26" displayName="Table_406" name="Table_406" id="406">
  <tableColumns count="5">
    <tableColumn name="Column1" id="1"/>
    <tableColumn name="Column2" id="2"/>
    <tableColumn name="Column3" id="3"/>
    <tableColumn name="Column4" id="4"/>
    <tableColumn name="Column5" id="5"/>
  </tableColumns>
  <tableStyleInfo name="9°A-style 22" showColumnStripes="0" showFirstColumn="1" showLastColumn="1" showRowStripes="1"/>
</table>
</file>

<file path=xl/tables/table407.xml><?xml version="1.0" encoding="utf-8"?>
<table xmlns="http://schemas.openxmlformats.org/spreadsheetml/2006/main" headerRowCount="0" ref="BG27:BM35" displayName="Table_407" name="Table_407" id="40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9°A-style 23" showColumnStripes="0" showFirstColumn="1" showLastColumn="1" showRowStripes="1"/>
</table>
</file>

<file path=xl/tables/table408.xml><?xml version="1.0" encoding="utf-8"?>
<table xmlns="http://schemas.openxmlformats.org/spreadsheetml/2006/main" headerRowCount="0" ref="R33:W35" displayName="Table_408" name="Table_408" id="40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9°A-style 24" showColumnStripes="0" showFirstColumn="1" showLastColumn="1" showRowStripes="1"/>
</table>
</file>

<file path=xl/tables/table409.xml><?xml version="1.0" encoding="utf-8"?>
<table xmlns="http://schemas.openxmlformats.org/spreadsheetml/2006/main" headerRowCount="0" ref="B5:D5" displayName="Table_409" name="Table_409" id="409">
  <tableColumns count="3">
    <tableColumn name="Column1" id="1"/>
    <tableColumn name="Column2" id="2"/>
    <tableColumn name="Column3" id="3"/>
  </tableColumns>
  <tableStyleInfo name="9°B-style" showColumnStripes="0" showFirstColumn="1" showLastColumn="1" showRowStripes="1"/>
</table>
</file>

<file path=xl/tables/table410.xml><?xml version="1.0" encoding="utf-8"?>
<table xmlns="http://schemas.openxmlformats.org/spreadsheetml/2006/main" headerRowCount="0" ref="B7:D7" displayName="Table_410" name="Table_410" id="410">
  <tableColumns count="3">
    <tableColumn name="Column1" id="1"/>
    <tableColumn name="Column2" id="2"/>
    <tableColumn name="Column3" id="3"/>
  </tableColumns>
  <tableStyleInfo name="9°B-style 2" showColumnStripes="0" showFirstColumn="1" showLastColumn="1" showRowStripes="1"/>
</table>
</file>

<file path=xl/tables/table411.xml><?xml version="1.0" encoding="utf-8"?>
<table xmlns="http://schemas.openxmlformats.org/spreadsheetml/2006/main" headerRowCount="0" ref="B8:D8" displayName="Table_411" name="Table_411" id="411">
  <tableColumns count="3">
    <tableColumn name="Column1" id="1"/>
    <tableColumn name="Column2" id="2"/>
    <tableColumn name="Column3" id="3"/>
  </tableColumns>
  <tableStyleInfo name="9°B-style 3" showColumnStripes="0" showFirstColumn="1" showLastColumn="1" showRowStripes="1"/>
</table>
</file>

<file path=xl/tables/table412.xml><?xml version="1.0" encoding="utf-8"?>
<table xmlns="http://schemas.openxmlformats.org/spreadsheetml/2006/main" headerRowCount="0" ref="B9:D9" displayName="Table_412" name="Table_412" id="412">
  <tableColumns count="3">
    <tableColumn name="Column1" id="1"/>
    <tableColumn name="Column2" id="2"/>
    <tableColumn name="Column3" id="3"/>
  </tableColumns>
  <tableStyleInfo name="9°B-style 4" showColumnStripes="0" showFirstColumn="1" showLastColumn="1" showRowStripes="1"/>
</table>
</file>

<file path=xl/tables/table413.xml><?xml version="1.0" encoding="utf-8"?>
<table xmlns="http://schemas.openxmlformats.org/spreadsheetml/2006/main" headerRowCount="0" ref="B10:W10" displayName="Table_413" name="Table_413" id="413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9°B-style 5" showColumnStripes="0" showFirstColumn="1" showLastColumn="1" showRowStripes="1"/>
</table>
</file>

<file path=xl/tables/table414.xml><?xml version="1.0" encoding="utf-8"?>
<table xmlns="http://schemas.openxmlformats.org/spreadsheetml/2006/main" headerRowCount="0" ref="BG10:BG25" displayName="Table_414" name="Table_414" id="414">
  <tableColumns count="1">
    <tableColumn name="Column1" id="1"/>
  </tableColumns>
  <tableStyleInfo name="9°B-style 6" showColumnStripes="0" showFirstColumn="1" showLastColumn="1" showRowStripes="1"/>
</table>
</file>

<file path=xl/tables/table415.xml><?xml version="1.0" encoding="utf-8"?>
<table xmlns="http://schemas.openxmlformats.org/spreadsheetml/2006/main" headerRowCount="0" ref="B11:D11" displayName="Table_415" name="Table_415" id="415">
  <tableColumns count="3">
    <tableColumn name="Column1" id="1"/>
    <tableColumn name="Column2" id="2"/>
    <tableColumn name="Column3" id="3"/>
  </tableColumns>
  <tableStyleInfo name="9°B-style 7" showColumnStripes="0" showFirstColumn="1" showLastColumn="1" showRowStripes="1"/>
</table>
</file>

<file path=xl/tables/table416.xml><?xml version="1.0" encoding="utf-8"?>
<table xmlns="http://schemas.openxmlformats.org/spreadsheetml/2006/main" headerRowCount="0" ref="B12:D12" displayName="Table_416" name="Table_416" id="416">
  <tableColumns count="3">
    <tableColumn name="Column1" id="1"/>
    <tableColumn name="Column2" id="2"/>
    <tableColumn name="Column3" id="3"/>
  </tableColumns>
  <tableStyleInfo name="9°B-style 8" showColumnStripes="0" showFirstColumn="1" showLastColumn="1" showRowStripes="1"/>
</table>
</file>

<file path=xl/tables/table417.xml><?xml version="1.0" encoding="utf-8"?>
<table xmlns="http://schemas.openxmlformats.org/spreadsheetml/2006/main" headerRowCount="0" ref="B13:D13" displayName="Table_417" name="Table_417" id="417">
  <tableColumns count="3">
    <tableColumn name="Column1" id="1"/>
    <tableColumn name="Column2" id="2"/>
    <tableColumn name="Column3" id="3"/>
  </tableColumns>
  <tableStyleInfo name="9°B-style 9" showColumnStripes="0" showFirstColumn="1" showLastColumn="1" showRowStripes="1"/>
</table>
</file>

<file path=xl/tables/table418.xml><?xml version="1.0" encoding="utf-8"?>
<table xmlns="http://schemas.openxmlformats.org/spreadsheetml/2006/main" headerRowCount="0" ref="B14:D14" displayName="Table_418" name="Table_418" id="418">
  <tableColumns count="3">
    <tableColumn name="Column1" id="1"/>
    <tableColumn name="Column2" id="2"/>
    <tableColumn name="Column3" id="3"/>
  </tableColumns>
  <tableStyleInfo name="9°B-style 10" showColumnStripes="0" showFirstColumn="1" showLastColumn="1" showRowStripes="1"/>
</table>
</file>

<file path=xl/tables/table419.xml><?xml version="1.0" encoding="utf-8"?>
<table xmlns="http://schemas.openxmlformats.org/spreadsheetml/2006/main" headerRowCount="0" ref="B15:D15" displayName="Table_419" name="Table_419" id="419">
  <tableColumns count="3">
    <tableColumn name="Column1" id="1"/>
    <tableColumn name="Column2" id="2"/>
    <tableColumn name="Column3" id="3"/>
  </tableColumns>
  <tableStyleInfo name="9°B-style 11" showColumnStripes="0" showFirstColumn="1" showLastColumn="1" showRowStripes="1"/>
</table>
</file>

<file path=xl/tables/table420.xml><?xml version="1.0" encoding="utf-8"?>
<table xmlns="http://schemas.openxmlformats.org/spreadsheetml/2006/main" headerRowCount="0" ref="B16:D16" displayName="Table_420" name="Table_420" id="420">
  <tableColumns count="3">
    <tableColumn name="Column1" id="1"/>
    <tableColumn name="Column2" id="2"/>
    <tableColumn name="Column3" id="3"/>
  </tableColumns>
  <tableStyleInfo name="9°B-style 12" showColumnStripes="0" showFirstColumn="1" showLastColumn="1" showRowStripes="1"/>
</table>
</file>

<file path=xl/tables/table421.xml><?xml version="1.0" encoding="utf-8"?>
<table xmlns="http://schemas.openxmlformats.org/spreadsheetml/2006/main" headerRowCount="0" ref="B17:D17" displayName="Table_421" name="Table_421" id="421">
  <tableColumns count="3">
    <tableColumn name="Column1" id="1"/>
    <tableColumn name="Column2" id="2"/>
    <tableColumn name="Column3" id="3"/>
  </tableColumns>
  <tableStyleInfo name="9°B-style 13" showColumnStripes="0" showFirstColumn="1" showLastColumn="1" showRowStripes="1"/>
</table>
</file>

<file path=xl/tables/table422.xml><?xml version="1.0" encoding="utf-8"?>
<table xmlns="http://schemas.openxmlformats.org/spreadsheetml/2006/main" headerRowCount="0" ref="B18:D18" displayName="Table_422" name="Table_422" id="422">
  <tableColumns count="3">
    <tableColumn name="Column1" id="1"/>
    <tableColumn name="Column2" id="2"/>
    <tableColumn name="Column3" id="3"/>
  </tableColumns>
  <tableStyleInfo name="9°B-style 14" showColumnStripes="0" showFirstColumn="1" showLastColumn="1" showRowStripes="1"/>
</table>
</file>

<file path=xl/tables/table423.xml><?xml version="1.0" encoding="utf-8"?>
<table xmlns="http://schemas.openxmlformats.org/spreadsheetml/2006/main" headerRowCount="0" ref="B19:D19" displayName="Table_423" name="Table_423" id="423">
  <tableColumns count="3">
    <tableColumn name="Column1" id="1"/>
    <tableColumn name="Column2" id="2"/>
    <tableColumn name="Column3" id="3"/>
  </tableColumns>
  <tableStyleInfo name="9°B-style 15" showColumnStripes="0" showFirstColumn="1" showLastColumn="1" showRowStripes="1"/>
</table>
</file>

<file path=xl/tables/table424.xml><?xml version="1.0" encoding="utf-8"?>
<table xmlns="http://schemas.openxmlformats.org/spreadsheetml/2006/main" headerRowCount="0" ref="B20:D20" displayName="Table_424" name="Table_424" id="424">
  <tableColumns count="3">
    <tableColumn name="Column1" id="1"/>
    <tableColumn name="Column2" id="2"/>
    <tableColumn name="Column3" id="3"/>
  </tableColumns>
  <tableStyleInfo name="9°B-style 16" showColumnStripes="0" showFirstColumn="1" showLastColumn="1" showRowStripes="1"/>
</table>
</file>

<file path=xl/tables/table425.xml><?xml version="1.0" encoding="utf-8"?>
<table xmlns="http://schemas.openxmlformats.org/spreadsheetml/2006/main" headerRowCount="0" ref="B21:D21" displayName="Table_425" name="Table_425" id="425">
  <tableColumns count="3">
    <tableColumn name="Column1" id="1"/>
    <tableColumn name="Column2" id="2"/>
    <tableColumn name="Column3" id="3"/>
  </tableColumns>
  <tableStyleInfo name="9°B-style 17" showColumnStripes="0" showFirstColumn="1" showLastColumn="1" showRowStripes="1"/>
</table>
</file>

<file path=xl/tables/table426.xml><?xml version="1.0" encoding="utf-8"?>
<table xmlns="http://schemas.openxmlformats.org/spreadsheetml/2006/main" headerRowCount="0" ref="B22:D22" displayName="Table_426" name="Table_426" id="426">
  <tableColumns count="3">
    <tableColumn name="Column1" id="1"/>
    <tableColumn name="Column2" id="2"/>
    <tableColumn name="Column3" id="3"/>
  </tableColumns>
  <tableStyleInfo name="9°B-style 18" showColumnStripes="0" showFirstColumn="1" showLastColumn="1" showRowStripes="1"/>
</table>
</file>

<file path=xl/tables/table427.xml><?xml version="1.0" encoding="utf-8"?>
<table xmlns="http://schemas.openxmlformats.org/spreadsheetml/2006/main" headerRowCount="0" ref="B23:D23" displayName="Table_427" name="Table_427" id="427">
  <tableColumns count="3">
    <tableColumn name="Column1" id="1"/>
    <tableColumn name="Column2" id="2"/>
    <tableColumn name="Column3" id="3"/>
  </tableColumns>
  <tableStyleInfo name="9°B-style 19" showColumnStripes="0" showFirstColumn="1" showLastColumn="1" showRowStripes="1"/>
</table>
</file>

<file path=xl/tables/table428.xml><?xml version="1.0" encoding="utf-8"?>
<table xmlns="http://schemas.openxmlformats.org/spreadsheetml/2006/main" headerRowCount="0" ref="B24:D25" displayName="Table_428" name="Table_428" id="428">
  <tableColumns count="3">
    <tableColumn name="Column1" id="1"/>
    <tableColumn name="Column2" id="2"/>
    <tableColumn name="Column3" id="3"/>
  </tableColumns>
  <tableStyleInfo name="9°B-style 20" showColumnStripes="0" showFirstColumn="1" showLastColumn="1" showRowStripes="1"/>
</table>
</file>

<file path=xl/tables/table429.xml><?xml version="1.0" encoding="utf-8"?>
<table xmlns="http://schemas.openxmlformats.org/spreadsheetml/2006/main" headerRowCount="0" ref="BG26:BG28" displayName="Table_429" name="Table_429" id="429">
  <tableColumns count="1">
    <tableColumn name="Column1" id="1"/>
  </tableColumns>
  <tableStyleInfo name="9°B-style 21" showColumnStripes="0" showFirstColumn="1" showLastColumn="1" showRowStripes="1"/>
</table>
</file>

<file path=xl/tables/table430.xml><?xml version="1.0" encoding="utf-8"?>
<table xmlns="http://schemas.openxmlformats.org/spreadsheetml/2006/main" headerRowCount="0" ref="BG29:BG32" displayName="Table_430" name="Table_430" id="430">
  <tableColumns count="1">
    <tableColumn name="Column1" id="1"/>
  </tableColumns>
  <tableStyleInfo name="9°B-style 22" showColumnStripes="0" showFirstColumn="1" showLastColumn="1" showRowStripes="1"/>
</table>
</file>

<file path=xl/tables/table431.xml><?xml version="1.0" encoding="utf-8"?>
<table xmlns="http://schemas.openxmlformats.org/spreadsheetml/2006/main" headerRowCount="0" ref="BG33:BG38" displayName="Table_431" name="Table_431" id="431">
  <tableColumns count="1">
    <tableColumn name="Column1" id="1"/>
  </tableColumns>
  <tableStyleInfo name="9°B-style 23" showColumnStripes="0" showFirstColumn="1" showLastColumn="1" showRowStripes="1"/>
</table>
</file>

<file path=xl/tables/table432.xml><?xml version="1.0" encoding="utf-8"?>
<table xmlns="http://schemas.openxmlformats.org/spreadsheetml/2006/main" headerRowCount="0" ref="B5:F5" displayName="Table_432" name="Table_432" id="432">
  <tableColumns count="5">
    <tableColumn name="Column1" id="1"/>
    <tableColumn name="Column2" id="2"/>
    <tableColumn name="Column3" id="3"/>
    <tableColumn name="Column4" id="4"/>
    <tableColumn name="Column5" id="5"/>
  </tableColumns>
  <tableStyleInfo name="9°C-style" showColumnStripes="0" showFirstColumn="1" showLastColumn="1" showRowStripes="1"/>
</table>
</file>

<file path=xl/tables/table433.xml><?xml version="1.0" encoding="utf-8"?>
<table xmlns="http://schemas.openxmlformats.org/spreadsheetml/2006/main" headerRowCount="0" ref="B7:F7" displayName="Table_433" name="Table_433" id="433">
  <tableColumns count="5">
    <tableColumn name="Column1" id="1"/>
    <tableColumn name="Column2" id="2"/>
    <tableColumn name="Column3" id="3"/>
    <tableColumn name="Column4" id="4"/>
    <tableColumn name="Column5" id="5"/>
  </tableColumns>
  <tableStyleInfo name="9°C-style 2" showColumnStripes="0" showFirstColumn="1" showLastColumn="1" showRowStripes="1"/>
</table>
</file>

<file path=xl/tables/table434.xml><?xml version="1.0" encoding="utf-8"?>
<table xmlns="http://schemas.openxmlformats.org/spreadsheetml/2006/main" headerRowCount="0" ref="B8:F8" displayName="Table_434" name="Table_434" id="434">
  <tableColumns count="5">
    <tableColumn name="Column1" id="1"/>
    <tableColumn name="Column2" id="2"/>
    <tableColumn name="Column3" id="3"/>
    <tableColumn name="Column4" id="4"/>
    <tableColumn name="Column5" id="5"/>
  </tableColumns>
  <tableStyleInfo name="9°C-style 3" showColumnStripes="0" showFirstColumn="1" showLastColumn="1" showRowStripes="1"/>
</table>
</file>

<file path=xl/tables/table435.xml><?xml version="1.0" encoding="utf-8"?>
<table xmlns="http://schemas.openxmlformats.org/spreadsheetml/2006/main" headerRowCount="0" ref="B9:E10" displayName="Table_435" name="Table_435" id="435">
  <tableColumns count="4">
    <tableColumn name="Column1" id="1"/>
    <tableColumn name="Column2" id="2"/>
    <tableColumn name="Column3" id="3"/>
    <tableColumn name="Column4" id="4"/>
  </tableColumns>
  <tableStyleInfo name="9°C-style 4" showColumnStripes="0" showFirstColumn="1" showLastColumn="1" showRowStripes="1"/>
</table>
</file>

<file path=xl/tables/table436.xml><?xml version="1.0" encoding="utf-8"?>
<table xmlns="http://schemas.openxmlformats.org/spreadsheetml/2006/main" headerRowCount="0" ref="BG10:BG12" displayName="Table_436" name="Table_436" id="436">
  <tableColumns count="1">
    <tableColumn name="Column1" id="1"/>
  </tableColumns>
  <tableStyleInfo name="9°C-style 5" showColumnStripes="0" showFirstColumn="1" showLastColumn="1" showRowStripes="1"/>
</table>
</file>

<file path=xl/tables/table437.xml><?xml version="1.0" encoding="utf-8"?>
<table xmlns="http://schemas.openxmlformats.org/spreadsheetml/2006/main" headerRowCount="0" ref="B11:F11" displayName="Table_437" name="Table_437" id="437">
  <tableColumns count="5">
    <tableColumn name="Column1" id="1"/>
    <tableColumn name="Column2" id="2"/>
    <tableColumn name="Column3" id="3"/>
    <tableColumn name="Column4" id="4"/>
    <tableColumn name="Column5" id="5"/>
  </tableColumns>
  <tableStyleInfo name="9°C-style 6" showColumnStripes="0" showFirstColumn="1" showLastColumn="1" showRowStripes="1"/>
</table>
</file>

<file path=xl/tables/table438.xml><?xml version="1.0" encoding="utf-8"?>
<table xmlns="http://schemas.openxmlformats.org/spreadsheetml/2006/main" headerRowCount="0" ref="B12:F12" displayName="Table_438" name="Table_438" id="438">
  <tableColumns count="5">
    <tableColumn name="Column1" id="1"/>
    <tableColumn name="Column2" id="2"/>
    <tableColumn name="Column3" id="3"/>
    <tableColumn name="Column4" id="4"/>
    <tableColumn name="Column5" id="5"/>
  </tableColumns>
  <tableStyleInfo name="9°C-style 7" showColumnStripes="0" showFirstColumn="1" showLastColumn="1" showRowStripes="1"/>
</table>
</file>

<file path=xl/tables/table439.xml><?xml version="1.0" encoding="utf-8"?>
<table xmlns="http://schemas.openxmlformats.org/spreadsheetml/2006/main" headerRowCount="0" ref="B13:K13" displayName="Table_439" name="Table_439" id="43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9°C-style 8" showColumnStripes="0" showFirstColumn="1" showLastColumn="1" showRowStripes="1"/>
</table>
</file>

<file path=xl/tables/table440.xml><?xml version="1.0" encoding="utf-8"?>
<table xmlns="http://schemas.openxmlformats.org/spreadsheetml/2006/main" headerRowCount="0" ref="B14:F14" displayName="Table_440" name="Table_440" id="440">
  <tableColumns count="5">
    <tableColumn name="Column1" id="1"/>
    <tableColumn name="Column2" id="2"/>
    <tableColumn name="Column3" id="3"/>
    <tableColumn name="Column4" id="4"/>
    <tableColumn name="Column5" id="5"/>
  </tableColumns>
  <tableStyleInfo name="9°C-style 9" showColumnStripes="0" showFirstColumn="1" showLastColumn="1" showRowStripes="1"/>
</table>
</file>

<file path=xl/tables/table441.xml><?xml version="1.0" encoding="utf-8"?>
<table xmlns="http://schemas.openxmlformats.org/spreadsheetml/2006/main" headerRowCount="0" ref="B15:P15" displayName="Table_441" name="Table_441" id="44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9°C-style 10" showColumnStripes="0" showFirstColumn="1" showLastColumn="1" showRowStripes="1"/>
</table>
</file>

<file path=xl/tables/table442.xml><?xml version="1.0" encoding="utf-8"?>
<table xmlns="http://schemas.openxmlformats.org/spreadsheetml/2006/main" headerRowCount="0" ref="B16:F16" displayName="Table_442" name="Table_442" id="442">
  <tableColumns count="5">
    <tableColumn name="Column1" id="1"/>
    <tableColumn name="Column2" id="2"/>
    <tableColumn name="Column3" id="3"/>
    <tableColumn name="Column4" id="4"/>
    <tableColumn name="Column5" id="5"/>
  </tableColumns>
  <tableStyleInfo name="9°C-style 11" showColumnStripes="0" showFirstColumn="1" showLastColumn="1" showRowStripes="1"/>
</table>
</file>

<file path=xl/tables/table443.xml><?xml version="1.0" encoding="utf-8"?>
<table xmlns="http://schemas.openxmlformats.org/spreadsheetml/2006/main" headerRowCount="0" ref="B17:F17" displayName="Table_443" name="Table_443" id="443">
  <tableColumns count="5">
    <tableColumn name="Column1" id="1"/>
    <tableColumn name="Column2" id="2"/>
    <tableColumn name="Column3" id="3"/>
    <tableColumn name="Column4" id="4"/>
    <tableColumn name="Column5" id="5"/>
  </tableColumns>
  <tableStyleInfo name="9°C-style 12" showColumnStripes="0" showFirstColumn="1" showLastColumn="1" showRowStripes="1"/>
</table>
</file>

<file path=xl/tables/table444.xml><?xml version="1.0" encoding="utf-8"?>
<table xmlns="http://schemas.openxmlformats.org/spreadsheetml/2006/main" headerRowCount="0" ref="B18:F18" displayName="Table_444" name="Table_444" id="444">
  <tableColumns count="5">
    <tableColumn name="Column1" id="1"/>
    <tableColumn name="Column2" id="2"/>
    <tableColumn name="Column3" id="3"/>
    <tableColumn name="Column4" id="4"/>
    <tableColumn name="Column5" id="5"/>
  </tableColumns>
  <tableStyleInfo name="9°C-style 13" showColumnStripes="0" showFirstColumn="1" showLastColumn="1" showRowStripes="1"/>
</table>
</file>

<file path=xl/tables/table445.xml><?xml version="1.0" encoding="utf-8"?>
<table xmlns="http://schemas.openxmlformats.org/spreadsheetml/2006/main" headerRowCount="0" ref="B19:F19" displayName="Table_445" name="Table_445" id="445">
  <tableColumns count="5">
    <tableColumn name="Column1" id="1"/>
    <tableColumn name="Column2" id="2"/>
    <tableColumn name="Column3" id="3"/>
    <tableColumn name="Column4" id="4"/>
    <tableColumn name="Column5" id="5"/>
  </tableColumns>
  <tableStyleInfo name="9°C-style 14" showColumnStripes="0" showFirstColumn="1" showLastColumn="1" showRowStripes="1"/>
</table>
</file>

<file path=xl/tables/table446.xml><?xml version="1.0" encoding="utf-8"?>
<table xmlns="http://schemas.openxmlformats.org/spreadsheetml/2006/main" headerRowCount="0" ref="B20:F20" displayName="Table_446" name="Table_446" id="446">
  <tableColumns count="5">
    <tableColumn name="Column1" id="1"/>
    <tableColumn name="Column2" id="2"/>
    <tableColumn name="Column3" id="3"/>
    <tableColumn name="Column4" id="4"/>
    <tableColumn name="Column5" id="5"/>
  </tableColumns>
  <tableStyleInfo name="9°C-style 15" showColumnStripes="0" showFirstColumn="1" showLastColumn="1" showRowStripes="1"/>
</table>
</file>

<file path=xl/tables/table447.xml><?xml version="1.0" encoding="utf-8"?>
<table xmlns="http://schemas.openxmlformats.org/spreadsheetml/2006/main" headerRowCount="0" ref="B21:F21" displayName="Table_447" name="Table_447" id="447">
  <tableColumns count="5">
    <tableColumn name="Column1" id="1"/>
    <tableColumn name="Column2" id="2"/>
    <tableColumn name="Column3" id="3"/>
    <tableColumn name="Column4" id="4"/>
    <tableColumn name="Column5" id="5"/>
  </tableColumns>
  <tableStyleInfo name="9°C-style 16" showColumnStripes="0" showFirstColumn="1" showLastColumn="1" showRowStripes="1"/>
</table>
</file>

<file path=xl/tables/table448.xml><?xml version="1.0" encoding="utf-8"?>
<table xmlns="http://schemas.openxmlformats.org/spreadsheetml/2006/main" headerRowCount="0" ref="B22:F22" displayName="Table_448" name="Table_448" id="448">
  <tableColumns count="5">
    <tableColumn name="Column1" id="1"/>
    <tableColumn name="Column2" id="2"/>
    <tableColumn name="Column3" id="3"/>
    <tableColumn name="Column4" id="4"/>
    <tableColumn name="Column5" id="5"/>
  </tableColumns>
  <tableStyleInfo name="9°C-style 17" showColumnStripes="0" showFirstColumn="1" showLastColumn="1" showRowStripes="1"/>
</table>
</file>

<file path=xl/tables/table449.xml><?xml version="1.0" encoding="utf-8"?>
<table xmlns="http://schemas.openxmlformats.org/spreadsheetml/2006/main" headerRowCount="0" ref="B23:F23" displayName="Table_449" name="Table_449" id="449">
  <tableColumns count="5">
    <tableColumn name="Column1" id="1"/>
    <tableColumn name="Column2" id="2"/>
    <tableColumn name="Column3" id="3"/>
    <tableColumn name="Column4" id="4"/>
    <tableColumn name="Column5" id="5"/>
  </tableColumns>
  <tableStyleInfo name="9°C-style 18" showColumnStripes="0" showFirstColumn="1" showLastColumn="1" showRowStripes="1"/>
</table>
</file>

<file path=xl/tables/table450.xml><?xml version="1.0" encoding="utf-8"?>
<table xmlns="http://schemas.openxmlformats.org/spreadsheetml/2006/main" headerRowCount="0" ref="B24:F25" displayName="Table_450" name="Table_450" id="450">
  <tableColumns count="5">
    <tableColumn name="Column1" id="1"/>
    <tableColumn name="Column2" id="2"/>
    <tableColumn name="Column3" id="3"/>
    <tableColumn name="Column4" id="4"/>
    <tableColumn name="Column5" id="5"/>
  </tableColumns>
  <tableStyleInfo name="9°C-style 19" showColumnStripes="0" showFirstColumn="1" showLastColumn="1" showRowStripes="1"/>
</table>
</file>

<file path=xl/tables/table451.xml><?xml version="1.0" encoding="utf-8"?>
<table xmlns="http://schemas.openxmlformats.org/spreadsheetml/2006/main" headerRowCount="0" ref="B26:C39" displayName="Table_451" name="Table_451" id="451">
  <tableColumns count="2">
    <tableColumn name="Column1" id="1"/>
    <tableColumn name="Column2" id="2"/>
  </tableColumns>
  <tableStyleInfo name="9°C-style 20" showColumnStripes="0" showFirstColumn="1" showLastColumn="1" showRowStripes="1"/>
</table>
</file>

<file path=xl/tables/table452.xml><?xml version="1.0" encoding="utf-8"?>
<table xmlns="http://schemas.openxmlformats.org/spreadsheetml/2006/main" headerRowCount="0" ref="BG26:BI30" displayName="Table_452" name="Table_452" id="452">
  <tableColumns count="3">
    <tableColumn name="Column1" id="1"/>
    <tableColumn name="Column2" id="2"/>
    <tableColumn name="Column3" id="3"/>
  </tableColumns>
  <tableStyleInfo name="9°C-style 21" showColumnStripes="0" showFirstColumn="1" showLastColumn="1" showRowStripes="1"/>
</table>
</file>

<file path=xl/tables/table453.xml><?xml version="1.0" encoding="utf-8"?>
<table xmlns="http://schemas.openxmlformats.org/spreadsheetml/2006/main" headerRowCount="0" ref="D31:E39" displayName="Table_453" name="Table_453" id="453">
  <tableColumns count="2">
    <tableColumn name="Column1" id="1"/>
    <tableColumn name="Column2" id="2"/>
  </tableColumns>
  <tableStyleInfo name="9°C-style 22" showColumnStripes="0" showFirstColumn="1" showLastColumn="1" showRowStripes="1"/>
</table>
</file>

<file path=xl/tables/table454.xml><?xml version="1.0" encoding="utf-8"?>
<table xmlns="http://schemas.openxmlformats.org/spreadsheetml/2006/main" headerRowCount="0" ref="BG31:BG36" displayName="Table_454" name="Table_454" id="454">
  <tableColumns count="1">
    <tableColumn name="Column1" id="1"/>
  </tableColumns>
  <tableStyleInfo name="9°C-style 2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9.xml"/><Relationship Id="rId31" Type="http://schemas.openxmlformats.org/officeDocument/2006/relationships/table" Target="../tables/table10.xml"/><Relationship Id="rId30" Type="http://schemas.openxmlformats.org/officeDocument/2006/relationships/table" Target="../tables/table9.xml"/><Relationship Id="rId41" Type="http://schemas.openxmlformats.org/officeDocument/2006/relationships/table" Target="../tables/table20.xml"/><Relationship Id="rId22" Type="http://schemas.openxmlformats.org/officeDocument/2006/relationships/table" Target="../tables/table1.xml"/><Relationship Id="rId33" Type="http://schemas.openxmlformats.org/officeDocument/2006/relationships/table" Target="../tables/table12.xml"/><Relationship Id="rId32" Type="http://schemas.openxmlformats.org/officeDocument/2006/relationships/table" Target="../tables/table11.xml"/><Relationship Id="rId24" Type="http://schemas.openxmlformats.org/officeDocument/2006/relationships/table" Target="../tables/table3.xml"/><Relationship Id="rId35" Type="http://schemas.openxmlformats.org/officeDocument/2006/relationships/table" Target="../tables/table14.xml"/><Relationship Id="rId23" Type="http://schemas.openxmlformats.org/officeDocument/2006/relationships/table" Target="../tables/table2.xml"/><Relationship Id="rId34" Type="http://schemas.openxmlformats.org/officeDocument/2006/relationships/table" Target="../tables/table13.xml"/><Relationship Id="rId1" Type="http://schemas.openxmlformats.org/officeDocument/2006/relationships/drawing" Target="../drawings/drawing2.xml"/><Relationship Id="rId26" Type="http://schemas.openxmlformats.org/officeDocument/2006/relationships/table" Target="../tables/table5.xml"/><Relationship Id="rId37" Type="http://schemas.openxmlformats.org/officeDocument/2006/relationships/table" Target="../tables/table16.xml"/><Relationship Id="rId25" Type="http://schemas.openxmlformats.org/officeDocument/2006/relationships/table" Target="../tables/table4.xml"/><Relationship Id="rId36" Type="http://schemas.openxmlformats.org/officeDocument/2006/relationships/table" Target="../tables/table15.xml"/><Relationship Id="rId28" Type="http://schemas.openxmlformats.org/officeDocument/2006/relationships/table" Target="../tables/table7.xml"/><Relationship Id="rId39" Type="http://schemas.openxmlformats.org/officeDocument/2006/relationships/table" Target="../tables/table18.xml"/><Relationship Id="rId27" Type="http://schemas.openxmlformats.org/officeDocument/2006/relationships/table" Target="../tables/table6.xml"/><Relationship Id="rId38" Type="http://schemas.openxmlformats.org/officeDocument/2006/relationships/table" Target="../tables/table17.xml"/><Relationship Id="rId29" Type="http://schemas.openxmlformats.org/officeDocument/2006/relationships/table" Target="../tables/table8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2.xml"/><Relationship Id="rId31" Type="http://schemas.openxmlformats.org/officeDocument/2006/relationships/table" Target="../tables/table33.xml"/><Relationship Id="rId30" Type="http://schemas.openxmlformats.org/officeDocument/2006/relationships/table" Target="../tables/table32.xml"/><Relationship Id="rId22" Type="http://schemas.openxmlformats.org/officeDocument/2006/relationships/table" Target="../tables/table24.xml"/><Relationship Id="rId33" Type="http://schemas.openxmlformats.org/officeDocument/2006/relationships/table" Target="../tables/table35.xml"/><Relationship Id="rId21" Type="http://schemas.openxmlformats.org/officeDocument/2006/relationships/table" Target="../tables/table23.xml"/><Relationship Id="rId32" Type="http://schemas.openxmlformats.org/officeDocument/2006/relationships/table" Target="../tables/table34.xml"/><Relationship Id="rId24" Type="http://schemas.openxmlformats.org/officeDocument/2006/relationships/table" Target="../tables/table26.xml"/><Relationship Id="rId35" Type="http://schemas.openxmlformats.org/officeDocument/2006/relationships/table" Target="../tables/table37.xml"/><Relationship Id="rId23" Type="http://schemas.openxmlformats.org/officeDocument/2006/relationships/table" Target="../tables/table25.xml"/><Relationship Id="rId34" Type="http://schemas.openxmlformats.org/officeDocument/2006/relationships/table" Target="../tables/table36.xml"/><Relationship Id="rId1" Type="http://schemas.openxmlformats.org/officeDocument/2006/relationships/drawing" Target="../drawings/drawing3.xml"/><Relationship Id="rId26" Type="http://schemas.openxmlformats.org/officeDocument/2006/relationships/table" Target="../tables/table28.xml"/><Relationship Id="rId25" Type="http://schemas.openxmlformats.org/officeDocument/2006/relationships/table" Target="../tables/table27.xml"/><Relationship Id="rId28" Type="http://schemas.openxmlformats.org/officeDocument/2006/relationships/table" Target="../tables/table30.xml"/><Relationship Id="rId27" Type="http://schemas.openxmlformats.org/officeDocument/2006/relationships/table" Target="../tables/table29.xml"/><Relationship Id="rId19" Type="http://schemas.openxmlformats.org/officeDocument/2006/relationships/table" Target="../tables/table21.xml"/><Relationship Id="rId29" Type="http://schemas.openxmlformats.org/officeDocument/2006/relationships/table" Target="../tables/table31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table" Target="../tables/table47.xml"/><Relationship Id="rId42" Type="http://schemas.openxmlformats.org/officeDocument/2006/relationships/table" Target="../tables/table49.xml"/><Relationship Id="rId41" Type="http://schemas.openxmlformats.org/officeDocument/2006/relationships/table" Target="../tables/table48.xml"/><Relationship Id="rId44" Type="http://schemas.openxmlformats.org/officeDocument/2006/relationships/table" Target="../tables/table51.xml"/><Relationship Id="rId43" Type="http://schemas.openxmlformats.org/officeDocument/2006/relationships/table" Target="../tables/table50.xml"/><Relationship Id="rId46" Type="http://schemas.openxmlformats.org/officeDocument/2006/relationships/table" Target="../tables/table53.xml"/><Relationship Id="rId45" Type="http://schemas.openxmlformats.org/officeDocument/2006/relationships/table" Target="../tables/table52.xml"/><Relationship Id="rId1" Type="http://schemas.openxmlformats.org/officeDocument/2006/relationships/drawing" Target="../drawings/drawing4.xml"/><Relationship Id="rId48" Type="http://schemas.openxmlformats.org/officeDocument/2006/relationships/table" Target="../tables/table55.xml"/><Relationship Id="rId47" Type="http://schemas.openxmlformats.org/officeDocument/2006/relationships/table" Target="../tables/table54.xml"/><Relationship Id="rId49" Type="http://schemas.openxmlformats.org/officeDocument/2006/relationships/table" Target="../tables/table56.xml"/><Relationship Id="rId51" Type="http://schemas.openxmlformats.org/officeDocument/2006/relationships/table" Target="../tables/table58.xml"/><Relationship Id="rId50" Type="http://schemas.openxmlformats.org/officeDocument/2006/relationships/table" Target="../tables/table57.xml"/><Relationship Id="rId31" Type="http://schemas.openxmlformats.org/officeDocument/2006/relationships/table" Target="../tables/table38.xml"/><Relationship Id="rId53" Type="http://schemas.openxmlformats.org/officeDocument/2006/relationships/table" Target="../tables/table60.xml"/><Relationship Id="rId52" Type="http://schemas.openxmlformats.org/officeDocument/2006/relationships/table" Target="../tables/table59.xml"/><Relationship Id="rId33" Type="http://schemas.openxmlformats.org/officeDocument/2006/relationships/table" Target="../tables/table40.xml"/><Relationship Id="rId55" Type="http://schemas.openxmlformats.org/officeDocument/2006/relationships/table" Target="../tables/table62.xml"/><Relationship Id="rId32" Type="http://schemas.openxmlformats.org/officeDocument/2006/relationships/table" Target="../tables/table39.xml"/><Relationship Id="rId54" Type="http://schemas.openxmlformats.org/officeDocument/2006/relationships/table" Target="../tables/table61.xml"/><Relationship Id="rId35" Type="http://schemas.openxmlformats.org/officeDocument/2006/relationships/table" Target="../tables/table42.xml"/><Relationship Id="rId57" Type="http://schemas.openxmlformats.org/officeDocument/2006/relationships/table" Target="../tables/table64.xml"/><Relationship Id="rId34" Type="http://schemas.openxmlformats.org/officeDocument/2006/relationships/table" Target="../tables/table41.xml"/><Relationship Id="rId56" Type="http://schemas.openxmlformats.org/officeDocument/2006/relationships/table" Target="../tables/table63.xml"/><Relationship Id="rId37" Type="http://schemas.openxmlformats.org/officeDocument/2006/relationships/table" Target="../tables/table44.xml"/><Relationship Id="rId59" Type="http://schemas.openxmlformats.org/officeDocument/2006/relationships/table" Target="../tables/table66.xml"/><Relationship Id="rId36" Type="http://schemas.openxmlformats.org/officeDocument/2006/relationships/table" Target="../tables/table43.xml"/><Relationship Id="rId58" Type="http://schemas.openxmlformats.org/officeDocument/2006/relationships/table" Target="../tables/table65.xml"/><Relationship Id="rId39" Type="http://schemas.openxmlformats.org/officeDocument/2006/relationships/table" Target="../tables/table46.xml"/><Relationship Id="rId38" Type="http://schemas.openxmlformats.org/officeDocument/2006/relationships/table" Target="../tables/table45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7.xml"/><Relationship Id="rId22" Type="http://schemas.openxmlformats.org/officeDocument/2006/relationships/table" Target="../tables/table69.xml"/><Relationship Id="rId21" Type="http://schemas.openxmlformats.org/officeDocument/2006/relationships/table" Target="../tables/table68.xml"/><Relationship Id="rId24" Type="http://schemas.openxmlformats.org/officeDocument/2006/relationships/table" Target="../tables/table71.xml"/><Relationship Id="rId23" Type="http://schemas.openxmlformats.org/officeDocument/2006/relationships/table" Target="../tables/table70.xml"/><Relationship Id="rId1" Type="http://schemas.openxmlformats.org/officeDocument/2006/relationships/drawing" Target="../drawings/drawing5.xml"/><Relationship Id="rId26" Type="http://schemas.openxmlformats.org/officeDocument/2006/relationships/table" Target="../tables/table73.xml"/><Relationship Id="rId25" Type="http://schemas.openxmlformats.org/officeDocument/2006/relationships/table" Target="../tables/table72.xml"/><Relationship Id="rId28" Type="http://schemas.openxmlformats.org/officeDocument/2006/relationships/table" Target="../tables/table75.xml"/><Relationship Id="rId27" Type="http://schemas.openxmlformats.org/officeDocument/2006/relationships/table" Target="../tables/table74.xml"/><Relationship Id="rId29" Type="http://schemas.openxmlformats.org/officeDocument/2006/relationships/table" Target="../tables/table76.xml"/><Relationship Id="rId31" Type="http://schemas.openxmlformats.org/officeDocument/2006/relationships/table" Target="../tables/table78.xml"/><Relationship Id="rId30" Type="http://schemas.openxmlformats.org/officeDocument/2006/relationships/table" Target="../tables/table77.xml"/><Relationship Id="rId33" Type="http://schemas.openxmlformats.org/officeDocument/2006/relationships/table" Target="../tables/table80.xml"/><Relationship Id="rId32" Type="http://schemas.openxmlformats.org/officeDocument/2006/relationships/table" Target="../tables/table79.xml"/><Relationship Id="rId35" Type="http://schemas.openxmlformats.org/officeDocument/2006/relationships/table" Target="../tables/table82.xml"/><Relationship Id="rId34" Type="http://schemas.openxmlformats.org/officeDocument/2006/relationships/table" Target="../tables/table81.xml"/><Relationship Id="rId37" Type="http://schemas.openxmlformats.org/officeDocument/2006/relationships/table" Target="../tables/table84.xml"/><Relationship Id="rId36" Type="http://schemas.openxmlformats.org/officeDocument/2006/relationships/table" Target="../tables/table83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table" Target="../tables/table85.xml"/><Relationship Id="rId22" Type="http://schemas.openxmlformats.org/officeDocument/2006/relationships/table" Target="../tables/table87.xml"/><Relationship Id="rId21" Type="http://schemas.openxmlformats.org/officeDocument/2006/relationships/table" Target="../tables/table86.xml"/><Relationship Id="rId24" Type="http://schemas.openxmlformats.org/officeDocument/2006/relationships/table" Target="../tables/table89.xml"/><Relationship Id="rId23" Type="http://schemas.openxmlformats.org/officeDocument/2006/relationships/table" Target="../tables/table88.xml"/><Relationship Id="rId1" Type="http://schemas.openxmlformats.org/officeDocument/2006/relationships/drawing" Target="../drawings/drawing6.xml"/><Relationship Id="rId26" Type="http://schemas.openxmlformats.org/officeDocument/2006/relationships/table" Target="../tables/table91.xml"/><Relationship Id="rId25" Type="http://schemas.openxmlformats.org/officeDocument/2006/relationships/table" Target="../tables/table90.xml"/><Relationship Id="rId28" Type="http://schemas.openxmlformats.org/officeDocument/2006/relationships/table" Target="../tables/table93.xml"/><Relationship Id="rId27" Type="http://schemas.openxmlformats.org/officeDocument/2006/relationships/table" Target="../tables/table92.xml"/><Relationship Id="rId29" Type="http://schemas.openxmlformats.org/officeDocument/2006/relationships/table" Target="../tables/table94.xml"/><Relationship Id="rId31" Type="http://schemas.openxmlformats.org/officeDocument/2006/relationships/table" Target="../tables/table96.xml"/><Relationship Id="rId30" Type="http://schemas.openxmlformats.org/officeDocument/2006/relationships/table" Target="../tables/table95.xml"/><Relationship Id="rId33" Type="http://schemas.openxmlformats.org/officeDocument/2006/relationships/table" Target="../tables/table98.xml"/><Relationship Id="rId32" Type="http://schemas.openxmlformats.org/officeDocument/2006/relationships/table" Target="../tables/table97.xml"/><Relationship Id="rId35" Type="http://schemas.openxmlformats.org/officeDocument/2006/relationships/table" Target="../tables/table100.xml"/><Relationship Id="rId34" Type="http://schemas.openxmlformats.org/officeDocument/2006/relationships/table" Target="../tables/table99.xml"/><Relationship Id="rId37" Type="http://schemas.openxmlformats.org/officeDocument/2006/relationships/table" Target="../tables/table102.xml"/><Relationship Id="rId36" Type="http://schemas.openxmlformats.org/officeDocument/2006/relationships/table" Target="../tables/table101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12.xml"/><Relationship Id="rId42" Type="http://schemas.openxmlformats.org/officeDocument/2006/relationships/table" Target="../tables/table114.xml"/><Relationship Id="rId41" Type="http://schemas.openxmlformats.org/officeDocument/2006/relationships/table" Target="../tables/table113.xml"/><Relationship Id="rId44" Type="http://schemas.openxmlformats.org/officeDocument/2006/relationships/table" Target="../tables/table116.xml"/><Relationship Id="rId43" Type="http://schemas.openxmlformats.org/officeDocument/2006/relationships/table" Target="../tables/table115.xml"/><Relationship Id="rId46" Type="http://schemas.openxmlformats.org/officeDocument/2006/relationships/table" Target="../tables/table118.xml"/><Relationship Id="rId45" Type="http://schemas.openxmlformats.org/officeDocument/2006/relationships/table" Target="../tables/table117.xml"/><Relationship Id="rId1" Type="http://schemas.openxmlformats.org/officeDocument/2006/relationships/drawing" Target="../drawings/drawing7.xml"/><Relationship Id="rId48" Type="http://schemas.openxmlformats.org/officeDocument/2006/relationships/table" Target="../tables/table120.xml"/><Relationship Id="rId47" Type="http://schemas.openxmlformats.org/officeDocument/2006/relationships/table" Target="../tables/table119.xml"/><Relationship Id="rId49" Type="http://schemas.openxmlformats.org/officeDocument/2006/relationships/table" Target="../tables/table121.xml"/><Relationship Id="rId51" Type="http://schemas.openxmlformats.org/officeDocument/2006/relationships/table" Target="../tables/table123.xml"/><Relationship Id="rId50" Type="http://schemas.openxmlformats.org/officeDocument/2006/relationships/table" Target="../tables/table122.xml"/><Relationship Id="rId31" Type="http://schemas.openxmlformats.org/officeDocument/2006/relationships/table" Target="../tables/table103.xml"/><Relationship Id="rId53" Type="http://schemas.openxmlformats.org/officeDocument/2006/relationships/table" Target="../tables/table125.xml"/><Relationship Id="rId52" Type="http://schemas.openxmlformats.org/officeDocument/2006/relationships/table" Target="../tables/table124.xml"/><Relationship Id="rId33" Type="http://schemas.openxmlformats.org/officeDocument/2006/relationships/table" Target="../tables/table105.xml"/><Relationship Id="rId55" Type="http://schemas.openxmlformats.org/officeDocument/2006/relationships/table" Target="../tables/table127.xml"/><Relationship Id="rId32" Type="http://schemas.openxmlformats.org/officeDocument/2006/relationships/table" Target="../tables/table104.xml"/><Relationship Id="rId54" Type="http://schemas.openxmlformats.org/officeDocument/2006/relationships/table" Target="../tables/table126.xml"/><Relationship Id="rId35" Type="http://schemas.openxmlformats.org/officeDocument/2006/relationships/table" Target="../tables/table107.xml"/><Relationship Id="rId57" Type="http://schemas.openxmlformats.org/officeDocument/2006/relationships/table" Target="../tables/table129.xml"/><Relationship Id="rId34" Type="http://schemas.openxmlformats.org/officeDocument/2006/relationships/table" Target="../tables/table106.xml"/><Relationship Id="rId56" Type="http://schemas.openxmlformats.org/officeDocument/2006/relationships/table" Target="../tables/table128.xml"/><Relationship Id="rId37" Type="http://schemas.openxmlformats.org/officeDocument/2006/relationships/table" Target="../tables/table109.xml"/><Relationship Id="rId59" Type="http://schemas.openxmlformats.org/officeDocument/2006/relationships/table" Target="../tables/table131.xml"/><Relationship Id="rId36" Type="http://schemas.openxmlformats.org/officeDocument/2006/relationships/table" Target="../tables/table108.xml"/><Relationship Id="rId58" Type="http://schemas.openxmlformats.org/officeDocument/2006/relationships/table" Target="../tables/table130.xml"/><Relationship Id="rId39" Type="http://schemas.openxmlformats.org/officeDocument/2006/relationships/table" Target="../tables/table111.xml"/><Relationship Id="rId38" Type="http://schemas.openxmlformats.org/officeDocument/2006/relationships/table" Target="../tables/table110.xm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table" Target="../tables/table184.xml"/><Relationship Id="rId194" Type="http://schemas.openxmlformats.org/officeDocument/2006/relationships/table" Target="../tables/table188.xml"/><Relationship Id="rId193" Type="http://schemas.openxmlformats.org/officeDocument/2006/relationships/table" Target="../tables/table187.xml"/><Relationship Id="rId192" Type="http://schemas.openxmlformats.org/officeDocument/2006/relationships/table" Target="../tables/table186.xml"/><Relationship Id="rId191" Type="http://schemas.openxmlformats.org/officeDocument/2006/relationships/table" Target="../tables/table185.xml"/><Relationship Id="rId228" Type="http://schemas.openxmlformats.org/officeDocument/2006/relationships/table" Target="../tables/table222.xml"/><Relationship Id="rId227" Type="http://schemas.openxmlformats.org/officeDocument/2006/relationships/table" Target="../tables/table221.xml"/><Relationship Id="rId226" Type="http://schemas.openxmlformats.org/officeDocument/2006/relationships/table" Target="../tables/table220.xml"/><Relationship Id="rId225" Type="http://schemas.openxmlformats.org/officeDocument/2006/relationships/table" Target="../tables/table219.xml"/><Relationship Id="rId229" Type="http://schemas.openxmlformats.org/officeDocument/2006/relationships/table" Target="../tables/table223.xml"/><Relationship Id="rId187" Type="http://schemas.openxmlformats.org/officeDocument/2006/relationships/table" Target="../tables/table181.xml"/><Relationship Id="rId220" Type="http://schemas.openxmlformats.org/officeDocument/2006/relationships/table" Target="../tables/table214.xml"/><Relationship Id="rId186" Type="http://schemas.openxmlformats.org/officeDocument/2006/relationships/table" Target="../tables/table180.xml"/><Relationship Id="rId185" Type="http://schemas.openxmlformats.org/officeDocument/2006/relationships/table" Target="../tables/table179.xml"/><Relationship Id="rId184" Type="http://schemas.openxmlformats.org/officeDocument/2006/relationships/table" Target="../tables/table178.xml"/><Relationship Id="rId224" Type="http://schemas.openxmlformats.org/officeDocument/2006/relationships/table" Target="../tables/table218.xml"/><Relationship Id="rId223" Type="http://schemas.openxmlformats.org/officeDocument/2006/relationships/table" Target="../tables/table217.xml"/><Relationship Id="rId189" Type="http://schemas.openxmlformats.org/officeDocument/2006/relationships/table" Target="../tables/table183.xml"/><Relationship Id="rId222" Type="http://schemas.openxmlformats.org/officeDocument/2006/relationships/table" Target="../tables/table216.xml"/><Relationship Id="rId188" Type="http://schemas.openxmlformats.org/officeDocument/2006/relationships/table" Target="../tables/table182.xml"/><Relationship Id="rId221" Type="http://schemas.openxmlformats.org/officeDocument/2006/relationships/table" Target="../tables/table215.xml"/><Relationship Id="rId183" Type="http://schemas.openxmlformats.org/officeDocument/2006/relationships/table" Target="../tables/table177.xml"/><Relationship Id="rId182" Type="http://schemas.openxmlformats.org/officeDocument/2006/relationships/table" Target="../tables/table176.xml"/><Relationship Id="rId181" Type="http://schemas.openxmlformats.org/officeDocument/2006/relationships/table" Target="../tables/table175.xml"/><Relationship Id="rId180" Type="http://schemas.openxmlformats.org/officeDocument/2006/relationships/table" Target="../tables/table174.xml"/><Relationship Id="rId217" Type="http://schemas.openxmlformats.org/officeDocument/2006/relationships/table" Target="../tables/table211.xml"/><Relationship Id="rId216" Type="http://schemas.openxmlformats.org/officeDocument/2006/relationships/table" Target="../tables/table210.xml"/><Relationship Id="rId215" Type="http://schemas.openxmlformats.org/officeDocument/2006/relationships/table" Target="../tables/table209.xml"/><Relationship Id="rId214" Type="http://schemas.openxmlformats.org/officeDocument/2006/relationships/table" Target="../tables/table208.xml"/><Relationship Id="rId219" Type="http://schemas.openxmlformats.org/officeDocument/2006/relationships/table" Target="../tables/table213.xml"/><Relationship Id="rId218" Type="http://schemas.openxmlformats.org/officeDocument/2006/relationships/table" Target="../tables/table212.xml"/><Relationship Id="rId176" Type="http://schemas.openxmlformats.org/officeDocument/2006/relationships/table" Target="../tables/table170.xml"/><Relationship Id="rId175" Type="http://schemas.openxmlformats.org/officeDocument/2006/relationships/table" Target="../tables/table169.xml"/><Relationship Id="rId174" Type="http://schemas.openxmlformats.org/officeDocument/2006/relationships/table" Target="../tables/table168.xml"/><Relationship Id="rId173" Type="http://schemas.openxmlformats.org/officeDocument/2006/relationships/table" Target="../tables/table167.xml"/><Relationship Id="rId213" Type="http://schemas.openxmlformats.org/officeDocument/2006/relationships/table" Target="../tables/table207.xml"/><Relationship Id="rId179" Type="http://schemas.openxmlformats.org/officeDocument/2006/relationships/table" Target="../tables/table173.xml"/><Relationship Id="rId212" Type="http://schemas.openxmlformats.org/officeDocument/2006/relationships/table" Target="../tables/table206.xml"/><Relationship Id="rId178" Type="http://schemas.openxmlformats.org/officeDocument/2006/relationships/table" Target="../tables/table172.xml"/><Relationship Id="rId211" Type="http://schemas.openxmlformats.org/officeDocument/2006/relationships/table" Target="../tables/table205.xml"/><Relationship Id="rId177" Type="http://schemas.openxmlformats.org/officeDocument/2006/relationships/table" Target="../tables/table171.xml"/><Relationship Id="rId210" Type="http://schemas.openxmlformats.org/officeDocument/2006/relationships/table" Target="../tables/table204.xml"/><Relationship Id="rId249" Type="http://schemas.openxmlformats.org/officeDocument/2006/relationships/table" Target="../tables/table243.xml"/><Relationship Id="rId248" Type="http://schemas.openxmlformats.org/officeDocument/2006/relationships/table" Target="../tables/table242.xml"/><Relationship Id="rId247" Type="http://schemas.openxmlformats.org/officeDocument/2006/relationships/table" Target="../tables/table241.xml"/><Relationship Id="rId242" Type="http://schemas.openxmlformats.org/officeDocument/2006/relationships/table" Target="../tables/table236.xml"/><Relationship Id="rId241" Type="http://schemas.openxmlformats.org/officeDocument/2006/relationships/table" Target="../tables/table235.xml"/><Relationship Id="rId240" Type="http://schemas.openxmlformats.org/officeDocument/2006/relationships/table" Target="../tables/table234.xml"/><Relationship Id="rId246" Type="http://schemas.openxmlformats.org/officeDocument/2006/relationships/table" Target="../tables/table240.xml"/><Relationship Id="rId245" Type="http://schemas.openxmlformats.org/officeDocument/2006/relationships/table" Target="../tables/table239.xml"/><Relationship Id="rId244" Type="http://schemas.openxmlformats.org/officeDocument/2006/relationships/table" Target="../tables/table238.xml"/><Relationship Id="rId243" Type="http://schemas.openxmlformats.org/officeDocument/2006/relationships/table" Target="../tables/table237.xml"/><Relationship Id="rId239" Type="http://schemas.openxmlformats.org/officeDocument/2006/relationships/table" Target="../tables/table233.xml"/><Relationship Id="rId238" Type="http://schemas.openxmlformats.org/officeDocument/2006/relationships/table" Target="../tables/table232.xml"/><Relationship Id="rId237" Type="http://schemas.openxmlformats.org/officeDocument/2006/relationships/table" Target="../tables/table231.xml"/><Relationship Id="rId236" Type="http://schemas.openxmlformats.org/officeDocument/2006/relationships/table" Target="../tables/table230.xml"/><Relationship Id="rId198" Type="http://schemas.openxmlformats.org/officeDocument/2006/relationships/table" Target="../tables/table192.xml"/><Relationship Id="rId231" Type="http://schemas.openxmlformats.org/officeDocument/2006/relationships/table" Target="../tables/table225.xml"/><Relationship Id="rId197" Type="http://schemas.openxmlformats.org/officeDocument/2006/relationships/table" Target="../tables/table191.xml"/><Relationship Id="rId230" Type="http://schemas.openxmlformats.org/officeDocument/2006/relationships/table" Target="../tables/table224.xml"/><Relationship Id="rId196" Type="http://schemas.openxmlformats.org/officeDocument/2006/relationships/table" Target="../tables/table190.xml"/><Relationship Id="rId195" Type="http://schemas.openxmlformats.org/officeDocument/2006/relationships/table" Target="../tables/table189.xml"/><Relationship Id="rId235" Type="http://schemas.openxmlformats.org/officeDocument/2006/relationships/table" Target="../tables/table229.xml"/><Relationship Id="rId234" Type="http://schemas.openxmlformats.org/officeDocument/2006/relationships/table" Target="../tables/table228.xml"/><Relationship Id="rId233" Type="http://schemas.openxmlformats.org/officeDocument/2006/relationships/table" Target="../tables/table227.xml"/><Relationship Id="rId199" Type="http://schemas.openxmlformats.org/officeDocument/2006/relationships/table" Target="../tables/table193.xml"/><Relationship Id="rId232" Type="http://schemas.openxmlformats.org/officeDocument/2006/relationships/table" Target="../tables/table226.xml"/><Relationship Id="rId150" Type="http://schemas.openxmlformats.org/officeDocument/2006/relationships/table" Target="../tables/table144.xml"/><Relationship Id="rId271" Type="http://schemas.openxmlformats.org/officeDocument/2006/relationships/table" Target="../tables/table265.xml"/><Relationship Id="rId270" Type="http://schemas.openxmlformats.org/officeDocument/2006/relationships/table" Target="../tables/table264.xml"/><Relationship Id="rId1" Type="http://schemas.openxmlformats.org/officeDocument/2006/relationships/drawing" Target="../drawings/drawing8.xml"/><Relationship Id="rId149" Type="http://schemas.openxmlformats.org/officeDocument/2006/relationships/table" Target="../tables/table143.xml"/><Relationship Id="rId148" Type="http://schemas.openxmlformats.org/officeDocument/2006/relationships/table" Target="../tables/table142.xml"/><Relationship Id="rId269" Type="http://schemas.openxmlformats.org/officeDocument/2006/relationships/table" Target="../tables/table263.xml"/><Relationship Id="rId143" Type="http://schemas.openxmlformats.org/officeDocument/2006/relationships/table" Target="../tables/table137.xml"/><Relationship Id="rId264" Type="http://schemas.openxmlformats.org/officeDocument/2006/relationships/table" Target="../tables/table258.xml"/><Relationship Id="rId142" Type="http://schemas.openxmlformats.org/officeDocument/2006/relationships/table" Target="../tables/table136.xml"/><Relationship Id="rId263" Type="http://schemas.openxmlformats.org/officeDocument/2006/relationships/table" Target="../tables/table257.xml"/><Relationship Id="rId141" Type="http://schemas.openxmlformats.org/officeDocument/2006/relationships/table" Target="../tables/table135.xml"/><Relationship Id="rId262" Type="http://schemas.openxmlformats.org/officeDocument/2006/relationships/table" Target="../tables/table256.xml"/><Relationship Id="rId140" Type="http://schemas.openxmlformats.org/officeDocument/2006/relationships/table" Target="../tables/table134.xml"/><Relationship Id="rId261" Type="http://schemas.openxmlformats.org/officeDocument/2006/relationships/table" Target="../tables/table255.xml"/><Relationship Id="rId147" Type="http://schemas.openxmlformats.org/officeDocument/2006/relationships/table" Target="../tables/table141.xml"/><Relationship Id="rId268" Type="http://schemas.openxmlformats.org/officeDocument/2006/relationships/table" Target="../tables/table262.xml"/><Relationship Id="rId146" Type="http://schemas.openxmlformats.org/officeDocument/2006/relationships/table" Target="../tables/table140.xml"/><Relationship Id="rId267" Type="http://schemas.openxmlformats.org/officeDocument/2006/relationships/table" Target="../tables/table261.xml"/><Relationship Id="rId145" Type="http://schemas.openxmlformats.org/officeDocument/2006/relationships/table" Target="../tables/table139.xml"/><Relationship Id="rId266" Type="http://schemas.openxmlformats.org/officeDocument/2006/relationships/table" Target="../tables/table260.xml"/><Relationship Id="rId144" Type="http://schemas.openxmlformats.org/officeDocument/2006/relationships/table" Target="../tables/table138.xml"/><Relationship Id="rId265" Type="http://schemas.openxmlformats.org/officeDocument/2006/relationships/table" Target="../tables/table259.xml"/><Relationship Id="rId260" Type="http://schemas.openxmlformats.org/officeDocument/2006/relationships/table" Target="../tables/table254.xml"/><Relationship Id="rId139" Type="http://schemas.openxmlformats.org/officeDocument/2006/relationships/table" Target="../tables/table133.xml"/><Relationship Id="rId138" Type="http://schemas.openxmlformats.org/officeDocument/2006/relationships/table" Target="../tables/table132.xml"/><Relationship Id="rId259" Type="http://schemas.openxmlformats.org/officeDocument/2006/relationships/table" Target="../tables/table253.xml"/><Relationship Id="rId258" Type="http://schemas.openxmlformats.org/officeDocument/2006/relationships/table" Target="../tables/table252.xml"/><Relationship Id="rId253" Type="http://schemas.openxmlformats.org/officeDocument/2006/relationships/table" Target="../tables/table247.xml"/><Relationship Id="rId252" Type="http://schemas.openxmlformats.org/officeDocument/2006/relationships/table" Target="../tables/table246.xml"/><Relationship Id="rId251" Type="http://schemas.openxmlformats.org/officeDocument/2006/relationships/table" Target="../tables/table245.xml"/><Relationship Id="rId250" Type="http://schemas.openxmlformats.org/officeDocument/2006/relationships/table" Target="../tables/table244.xml"/><Relationship Id="rId257" Type="http://schemas.openxmlformats.org/officeDocument/2006/relationships/table" Target="../tables/table251.xml"/><Relationship Id="rId256" Type="http://schemas.openxmlformats.org/officeDocument/2006/relationships/table" Target="../tables/table250.xml"/><Relationship Id="rId255" Type="http://schemas.openxmlformats.org/officeDocument/2006/relationships/table" Target="../tables/table249.xml"/><Relationship Id="rId254" Type="http://schemas.openxmlformats.org/officeDocument/2006/relationships/table" Target="../tables/table248.xml"/><Relationship Id="rId172" Type="http://schemas.openxmlformats.org/officeDocument/2006/relationships/table" Target="../tables/table166.xml"/><Relationship Id="rId171" Type="http://schemas.openxmlformats.org/officeDocument/2006/relationships/table" Target="../tables/table165.xml"/><Relationship Id="rId170" Type="http://schemas.openxmlformats.org/officeDocument/2006/relationships/table" Target="../tables/table164.xml"/><Relationship Id="rId206" Type="http://schemas.openxmlformats.org/officeDocument/2006/relationships/table" Target="../tables/table200.xml"/><Relationship Id="rId205" Type="http://schemas.openxmlformats.org/officeDocument/2006/relationships/table" Target="../tables/table199.xml"/><Relationship Id="rId204" Type="http://schemas.openxmlformats.org/officeDocument/2006/relationships/table" Target="../tables/table198.xml"/><Relationship Id="rId203" Type="http://schemas.openxmlformats.org/officeDocument/2006/relationships/table" Target="../tables/table197.xml"/><Relationship Id="rId209" Type="http://schemas.openxmlformats.org/officeDocument/2006/relationships/table" Target="../tables/table203.xml"/><Relationship Id="rId208" Type="http://schemas.openxmlformats.org/officeDocument/2006/relationships/table" Target="../tables/table202.xml"/><Relationship Id="rId207" Type="http://schemas.openxmlformats.org/officeDocument/2006/relationships/table" Target="../tables/table201.xml"/><Relationship Id="rId165" Type="http://schemas.openxmlformats.org/officeDocument/2006/relationships/table" Target="../tables/table159.xml"/><Relationship Id="rId164" Type="http://schemas.openxmlformats.org/officeDocument/2006/relationships/table" Target="../tables/table158.xml"/><Relationship Id="rId163" Type="http://schemas.openxmlformats.org/officeDocument/2006/relationships/table" Target="../tables/table157.xml"/><Relationship Id="rId162" Type="http://schemas.openxmlformats.org/officeDocument/2006/relationships/table" Target="../tables/table156.xml"/><Relationship Id="rId169" Type="http://schemas.openxmlformats.org/officeDocument/2006/relationships/table" Target="../tables/table163.xml"/><Relationship Id="rId202" Type="http://schemas.openxmlformats.org/officeDocument/2006/relationships/table" Target="../tables/table196.xml"/><Relationship Id="rId168" Type="http://schemas.openxmlformats.org/officeDocument/2006/relationships/table" Target="../tables/table162.xml"/><Relationship Id="rId201" Type="http://schemas.openxmlformats.org/officeDocument/2006/relationships/table" Target="../tables/table195.xml"/><Relationship Id="rId167" Type="http://schemas.openxmlformats.org/officeDocument/2006/relationships/table" Target="../tables/table161.xml"/><Relationship Id="rId200" Type="http://schemas.openxmlformats.org/officeDocument/2006/relationships/table" Target="../tables/table194.xml"/><Relationship Id="rId166" Type="http://schemas.openxmlformats.org/officeDocument/2006/relationships/table" Target="../tables/table160.xml"/><Relationship Id="rId161" Type="http://schemas.openxmlformats.org/officeDocument/2006/relationships/table" Target="../tables/table155.xml"/><Relationship Id="rId160" Type="http://schemas.openxmlformats.org/officeDocument/2006/relationships/table" Target="../tables/table154.xml"/><Relationship Id="rId159" Type="http://schemas.openxmlformats.org/officeDocument/2006/relationships/table" Target="../tables/table153.xml"/><Relationship Id="rId154" Type="http://schemas.openxmlformats.org/officeDocument/2006/relationships/table" Target="../tables/table148.xml"/><Relationship Id="rId153" Type="http://schemas.openxmlformats.org/officeDocument/2006/relationships/table" Target="../tables/table147.xml"/><Relationship Id="rId152" Type="http://schemas.openxmlformats.org/officeDocument/2006/relationships/table" Target="../tables/table146.xml"/><Relationship Id="rId273" Type="http://schemas.openxmlformats.org/officeDocument/2006/relationships/table" Target="../tables/table267.xml"/><Relationship Id="rId151" Type="http://schemas.openxmlformats.org/officeDocument/2006/relationships/table" Target="../tables/table145.xml"/><Relationship Id="rId272" Type="http://schemas.openxmlformats.org/officeDocument/2006/relationships/table" Target="../tables/table266.xml"/><Relationship Id="rId158" Type="http://schemas.openxmlformats.org/officeDocument/2006/relationships/table" Target="../tables/table152.xml"/><Relationship Id="rId157" Type="http://schemas.openxmlformats.org/officeDocument/2006/relationships/table" Target="../tables/table151.xml"/><Relationship Id="rId156" Type="http://schemas.openxmlformats.org/officeDocument/2006/relationships/table" Target="../tables/table150.xml"/><Relationship Id="rId155" Type="http://schemas.openxmlformats.org/officeDocument/2006/relationships/table" Target="../tables/table149.xml"/></Relationships>
</file>

<file path=xl/worksheets/_rels/sheet9.xml.rels><?xml version="1.0" encoding="UTF-8" standalone="yes"?><Relationships xmlns="http://schemas.openxmlformats.org/package/2006/relationships"><Relationship Id="rId107" Type="http://schemas.openxmlformats.org/officeDocument/2006/relationships/table" Target="../tables/table292.xml"/><Relationship Id="rId106" Type="http://schemas.openxmlformats.org/officeDocument/2006/relationships/table" Target="../tables/table291.xml"/><Relationship Id="rId105" Type="http://schemas.openxmlformats.org/officeDocument/2006/relationships/table" Target="../tables/table290.xml"/><Relationship Id="rId104" Type="http://schemas.openxmlformats.org/officeDocument/2006/relationships/table" Target="../tables/table289.xml"/><Relationship Id="rId109" Type="http://schemas.openxmlformats.org/officeDocument/2006/relationships/table" Target="../tables/table294.xml"/><Relationship Id="rId108" Type="http://schemas.openxmlformats.org/officeDocument/2006/relationships/table" Target="../tables/table293.xml"/><Relationship Id="rId103" Type="http://schemas.openxmlformats.org/officeDocument/2006/relationships/table" Target="../tables/table288.xml"/><Relationship Id="rId102" Type="http://schemas.openxmlformats.org/officeDocument/2006/relationships/table" Target="../tables/table287.xml"/><Relationship Id="rId101" Type="http://schemas.openxmlformats.org/officeDocument/2006/relationships/table" Target="../tables/table286.xml"/><Relationship Id="rId100" Type="http://schemas.openxmlformats.org/officeDocument/2006/relationships/table" Target="../tables/table285.xml"/><Relationship Id="rId129" Type="http://schemas.openxmlformats.org/officeDocument/2006/relationships/table" Target="../tables/table314.xml"/><Relationship Id="rId128" Type="http://schemas.openxmlformats.org/officeDocument/2006/relationships/table" Target="../tables/table313.xml"/><Relationship Id="rId127" Type="http://schemas.openxmlformats.org/officeDocument/2006/relationships/table" Target="../tables/table312.xml"/><Relationship Id="rId126" Type="http://schemas.openxmlformats.org/officeDocument/2006/relationships/table" Target="../tables/table311.xml"/><Relationship Id="rId121" Type="http://schemas.openxmlformats.org/officeDocument/2006/relationships/table" Target="../tables/table306.xml"/><Relationship Id="rId120" Type="http://schemas.openxmlformats.org/officeDocument/2006/relationships/table" Target="../tables/table305.xml"/><Relationship Id="rId125" Type="http://schemas.openxmlformats.org/officeDocument/2006/relationships/table" Target="../tables/table310.xml"/><Relationship Id="rId124" Type="http://schemas.openxmlformats.org/officeDocument/2006/relationships/table" Target="../tables/table309.xml"/><Relationship Id="rId123" Type="http://schemas.openxmlformats.org/officeDocument/2006/relationships/table" Target="../tables/table308.xml"/><Relationship Id="rId122" Type="http://schemas.openxmlformats.org/officeDocument/2006/relationships/table" Target="../tables/table307.xml"/><Relationship Id="rId95" Type="http://schemas.openxmlformats.org/officeDocument/2006/relationships/table" Target="../tables/table280.xml"/><Relationship Id="rId94" Type="http://schemas.openxmlformats.org/officeDocument/2006/relationships/table" Target="../tables/table279.xml"/><Relationship Id="rId97" Type="http://schemas.openxmlformats.org/officeDocument/2006/relationships/table" Target="../tables/table282.xml"/><Relationship Id="rId96" Type="http://schemas.openxmlformats.org/officeDocument/2006/relationships/table" Target="../tables/table281.xml"/><Relationship Id="rId99" Type="http://schemas.openxmlformats.org/officeDocument/2006/relationships/table" Target="../tables/table284.xml"/><Relationship Id="rId98" Type="http://schemas.openxmlformats.org/officeDocument/2006/relationships/table" Target="../tables/table283.xml"/><Relationship Id="rId91" Type="http://schemas.openxmlformats.org/officeDocument/2006/relationships/table" Target="../tables/table276.xml"/><Relationship Id="rId90" Type="http://schemas.openxmlformats.org/officeDocument/2006/relationships/table" Target="../tables/table275.xml"/><Relationship Id="rId93" Type="http://schemas.openxmlformats.org/officeDocument/2006/relationships/table" Target="../tables/table278.xml"/><Relationship Id="rId92" Type="http://schemas.openxmlformats.org/officeDocument/2006/relationships/table" Target="../tables/table277.xml"/><Relationship Id="rId118" Type="http://schemas.openxmlformats.org/officeDocument/2006/relationships/table" Target="../tables/table303.xml"/><Relationship Id="rId117" Type="http://schemas.openxmlformats.org/officeDocument/2006/relationships/table" Target="../tables/table302.xml"/><Relationship Id="rId116" Type="http://schemas.openxmlformats.org/officeDocument/2006/relationships/table" Target="../tables/table301.xml"/><Relationship Id="rId115" Type="http://schemas.openxmlformats.org/officeDocument/2006/relationships/table" Target="../tables/table300.xml"/><Relationship Id="rId119" Type="http://schemas.openxmlformats.org/officeDocument/2006/relationships/table" Target="../tables/table304.xml"/><Relationship Id="rId110" Type="http://schemas.openxmlformats.org/officeDocument/2006/relationships/table" Target="../tables/table295.xml"/><Relationship Id="rId114" Type="http://schemas.openxmlformats.org/officeDocument/2006/relationships/table" Target="../tables/table299.xml"/><Relationship Id="rId113" Type="http://schemas.openxmlformats.org/officeDocument/2006/relationships/table" Target="../tables/table298.xml"/><Relationship Id="rId112" Type="http://schemas.openxmlformats.org/officeDocument/2006/relationships/table" Target="../tables/table297.xml"/><Relationship Id="rId111" Type="http://schemas.openxmlformats.org/officeDocument/2006/relationships/table" Target="../tables/table296.xml"/><Relationship Id="rId84" Type="http://schemas.openxmlformats.org/officeDocument/2006/relationships/table" Target="../tables/table269.xml"/><Relationship Id="rId83" Type="http://schemas.openxmlformats.org/officeDocument/2006/relationships/table" Target="../tables/table268.xml"/><Relationship Id="rId86" Type="http://schemas.openxmlformats.org/officeDocument/2006/relationships/table" Target="../tables/table271.xml"/><Relationship Id="rId85" Type="http://schemas.openxmlformats.org/officeDocument/2006/relationships/table" Target="../tables/table270.xml"/><Relationship Id="rId88" Type="http://schemas.openxmlformats.org/officeDocument/2006/relationships/table" Target="../tables/table273.xml"/><Relationship Id="rId150" Type="http://schemas.openxmlformats.org/officeDocument/2006/relationships/table" Target="../tables/table335.xml"/><Relationship Id="rId87" Type="http://schemas.openxmlformats.org/officeDocument/2006/relationships/table" Target="../tables/table272.xml"/><Relationship Id="rId89" Type="http://schemas.openxmlformats.org/officeDocument/2006/relationships/table" Target="../tables/table274.xml"/><Relationship Id="rId1" Type="http://schemas.openxmlformats.org/officeDocument/2006/relationships/drawing" Target="../drawings/drawing9.xml"/><Relationship Id="rId149" Type="http://schemas.openxmlformats.org/officeDocument/2006/relationships/table" Target="../tables/table334.xml"/><Relationship Id="rId148" Type="http://schemas.openxmlformats.org/officeDocument/2006/relationships/table" Target="../tables/table333.xml"/><Relationship Id="rId143" Type="http://schemas.openxmlformats.org/officeDocument/2006/relationships/table" Target="../tables/table328.xml"/><Relationship Id="rId142" Type="http://schemas.openxmlformats.org/officeDocument/2006/relationships/table" Target="../tables/table327.xml"/><Relationship Id="rId141" Type="http://schemas.openxmlformats.org/officeDocument/2006/relationships/table" Target="../tables/table326.xml"/><Relationship Id="rId140" Type="http://schemas.openxmlformats.org/officeDocument/2006/relationships/table" Target="../tables/table325.xml"/><Relationship Id="rId147" Type="http://schemas.openxmlformats.org/officeDocument/2006/relationships/table" Target="../tables/table332.xml"/><Relationship Id="rId146" Type="http://schemas.openxmlformats.org/officeDocument/2006/relationships/table" Target="../tables/table331.xml"/><Relationship Id="rId145" Type="http://schemas.openxmlformats.org/officeDocument/2006/relationships/table" Target="../tables/table330.xml"/><Relationship Id="rId144" Type="http://schemas.openxmlformats.org/officeDocument/2006/relationships/table" Target="../tables/table329.xml"/><Relationship Id="rId139" Type="http://schemas.openxmlformats.org/officeDocument/2006/relationships/table" Target="../tables/table324.xml"/><Relationship Id="rId138" Type="http://schemas.openxmlformats.org/officeDocument/2006/relationships/table" Target="../tables/table323.xml"/><Relationship Id="rId137" Type="http://schemas.openxmlformats.org/officeDocument/2006/relationships/table" Target="../tables/table322.xml"/><Relationship Id="rId132" Type="http://schemas.openxmlformats.org/officeDocument/2006/relationships/table" Target="../tables/table317.xml"/><Relationship Id="rId131" Type="http://schemas.openxmlformats.org/officeDocument/2006/relationships/table" Target="../tables/table316.xml"/><Relationship Id="rId130" Type="http://schemas.openxmlformats.org/officeDocument/2006/relationships/table" Target="../tables/table315.xml"/><Relationship Id="rId136" Type="http://schemas.openxmlformats.org/officeDocument/2006/relationships/table" Target="../tables/table321.xml"/><Relationship Id="rId135" Type="http://schemas.openxmlformats.org/officeDocument/2006/relationships/table" Target="../tables/table320.xml"/><Relationship Id="rId134" Type="http://schemas.openxmlformats.org/officeDocument/2006/relationships/table" Target="../tables/table319.xml"/><Relationship Id="rId133" Type="http://schemas.openxmlformats.org/officeDocument/2006/relationships/table" Target="../tables/table318.xml"/><Relationship Id="rId163" Type="http://schemas.openxmlformats.org/officeDocument/2006/relationships/table" Target="../tables/table348.xml"/><Relationship Id="rId162" Type="http://schemas.openxmlformats.org/officeDocument/2006/relationships/table" Target="../tables/table347.xml"/><Relationship Id="rId161" Type="http://schemas.openxmlformats.org/officeDocument/2006/relationships/table" Target="../tables/table346.xml"/><Relationship Id="rId160" Type="http://schemas.openxmlformats.org/officeDocument/2006/relationships/table" Target="../tables/table345.xml"/><Relationship Id="rId159" Type="http://schemas.openxmlformats.org/officeDocument/2006/relationships/table" Target="../tables/table344.xml"/><Relationship Id="rId154" Type="http://schemas.openxmlformats.org/officeDocument/2006/relationships/table" Target="../tables/table339.xml"/><Relationship Id="rId153" Type="http://schemas.openxmlformats.org/officeDocument/2006/relationships/table" Target="../tables/table338.xml"/><Relationship Id="rId152" Type="http://schemas.openxmlformats.org/officeDocument/2006/relationships/table" Target="../tables/table337.xml"/><Relationship Id="rId151" Type="http://schemas.openxmlformats.org/officeDocument/2006/relationships/table" Target="../tables/table336.xml"/><Relationship Id="rId158" Type="http://schemas.openxmlformats.org/officeDocument/2006/relationships/table" Target="../tables/table343.xml"/><Relationship Id="rId157" Type="http://schemas.openxmlformats.org/officeDocument/2006/relationships/table" Target="../tables/table342.xml"/><Relationship Id="rId156" Type="http://schemas.openxmlformats.org/officeDocument/2006/relationships/table" Target="../tables/table341.xml"/><Relationship Id="rId155" Type="http://schemas.openxmlformats.org/officeDocument/2006/relationships/table" Target="../tables/table340.xm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51.xml"/><Relationship Id="rId42" Type="http://schemas.openxmlformats.org/officeDocument/2006/relationships/table" Target="../tables/table353.xml"/><Relationship Id="rId41" Type="http://schemas.openxmlformats.org/officeDocument/2006/relationships/table" Target="../tables/table352.xml"/><Relationship Id="rId44" Type="http://schemas.openxmlformats.org/officeDocument/2006/relationships/table" Target="../tables/table355.xml"/><Relationship Id="rId43" Type="http://schemas.openxmlformats.org/officeDocument/2006/relationships/table" Target="../tables/table354.xml"/><Relationship Id="rId46" Type="http://schemas.openxmlformats.org/officeDocument/2006/relationships/table" Target="../tables/table357.xml"/><Relationship Id="rId45" Type="http://schemas.openxmlformats.org/officeDocument/2006/relationships/table" Target="../tables/table356.xml"/><Relationship Id="rId48" Type="http://schemas.openxmlformats.org/officeDocument/2006/relationships/table" Target="../tables/table359.xml"/><Relationship Id="rId47" Type="http://schemas.openxmlformats.org/officeDocument/2006/relationships/table" Target="../tables/table358.xml"/><Relationship Id="rId49" Type="http://schemas.openxmlformats.org/officeDocument/2006/relationships/table" Target="../tables/table360.xml"/><Relationship Id="rId39" Type="http://schemas.openxmlformats.org/officeDocument/2006/relationships/table" Target="../tables/table350.xml"/><Relationship Id="rId38" Type="http://schemas.openxmlformats.org/officeDocument/2006/relationships/table" Target="../tables/table349.xml"/><Relationship Id="rId1" Type="http://schemas.openxmlformats.org/officeDocument/2006/relationships/drawing" Target="../drawings/drawing10.xml"/><Relationship Id="rId73" Type="http://schemas.openxmlformats.org/officeDocument/2006/relationships/table" Target="../tables/table384.xml"/><Relationship Id="rId72" Type="http://schemas.openxmlformats.org/officeDocument/2006/relationships/table" Target="../tables/table383.xml"/><Relationship Id="rId71" Type="http://schemas.openxmlformats.org/officeDocument/2006/relationships/table" Target="../tables/table382.xml"/><Relationship Id="rId70" Type="http://schemas.openxmlformats.org/officeDocument/2006/relationships/table" Target="../tables/table381.xml"/><Relationship Id="rId62" Type="http://schemas.openxmlformats.org/officeDocument/2006/relationships/table" Target="../tables/table373.xml"/><Relationship Id="rId61" Type="http://schemas.openxmlformats.org/officeDocument/2006/relationships/table" Target="../tables/table372.xml"/><Relationship Id="rId64" Type="http://schemas.openxmlformats.org/officeDocument/2006/relationships/table" Target="../tables/table375.xml"/><Relationship Id="rId63" Type="http://schemas.openxmlformats.org/officeDocument/2006/relationships/table" Target="../tables/table374.xml"/><Relationship Id="rId66" Type="http://schemas.openxmlformats.org/officeDocument/2006/relationships/table" Target="../tables/table377.xml"/><Relationship Id="rId65" Type="http://schemas.openxmlformats.org/officeDocument/2006/relationships/table" Target="../tables/table376.xml"/><Relationship Id="rId68" Type="http://schemas.openxmlformats.org/officeDocument/2006/relationships/table" Target="../tables/table379.xml"/><Relationship Id="rId67" Type="http://schemas.openxmlformats.org/officeDocument/2006/relationships/table" Target="../tables/table378.xml"/><Relationship Id="rId60" Type="http://schemas.openxmlformats.org/officeDocument/2006/relationships/table" Target="../tables/table371.xml"/><Relationship Id="rId69" Type="http://schemas.openxmlformats.org/officeDocument/2006/relationships/table" Target="../tables/table380.xml"/><Relationship Id="rId51" Type="http://schemas.openxmlformats.org/officeDocument/2006/relationships/table" Target="../tables/table362.xml"/><Relationship Id="rId50" Type="http://schemas.openxmlformats.org/officeDocument/2006/relationships/table" Target="../tables/table361.xml"/><Relationship Id="rId53" Type="http://schemas.openxmlformats.org/officeDocument/2006/relationships/table" Target="../tables/table364.xml"/><Relationship Id="rId52" Type="http://schemas.openxmlformats.org/officeDocument/2006/relationships/table" Target="../tables/table363.xml"/><Relationship Id="rId55" Type="http://schemas.openxmlformats.org/officeDocument/2006/relationships/table" Target="../tables/table366.xml"/><Relationship Id="rId54" Type="http://schemas.openxmlformats.org/officeDocument/2006/relationships/table" Target="../tables/table365.xml"/><Relationship Id="rId57" Type="http://schemas.openxmlformats.org/officeDocument/2006/relationships/table" Target="../tables/table368.xml"/><Relationship Id="rId56" Type="http://schemas.openxmlformats.org/officeDocument/2006/relationships/table" Target="../tables/table367.xml"/><Relationship Id="rId59" Type="http://schemas.openxmlformats.org/officeDocument/2006/relationships/table" Target="../tables/table370.xml"/><Relationship Id="rId58" Type="http://schemas.openxmlformats.org/officeDocument/2006/relationships/table" Target="../tables/table369.xm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99.xml"/><Relationship Id="rId42" Type="http://schemas.openxmlformats.org/officeDocument/2006/relationships/table" Target="../tables/table401.xml"/><Relationship Id="rId41" Type="http://schemas.openxmlformats.org/officeDocument/2006/relationships/table" Target="../tables/table400.xml"/><Relationship Id="rId44" Type="http://schemas.openxmlformats.org/officeDocument/2006/relationships/table" Target="../tables/table403.xml"/><Relationship Id="rId43" Type="http://schemas.openxmlformats.org/officeDocument/2006/relationships/table" Target="../tables/table402.xml"/><Relationship Id="rId46" Type="http://schemas.openxmlformats.org/officeDocument/2006/relationships/table" Target="../tables/table405.xml"/><Relationship Id="rId45" Type="http://schemas.openxmlformats.org/officeDocument/2006/relationships/table" Target="../tables/table404.xml"/><Relationship Id="rId48" Type="http://schemas.openxmlformats.org/officeDocument/2006/relationships/table" Target="../tables/table407.xml"/><Relationship Id="rId47" Type="http://schemas.openxmlformats.org/officeDocument/2006/relationships/table" Target="../tables/table406.xml"/><Relationship Id="rId49" Type="http://schemas.openxmlformats.org/officeDocument/2006/relationships/table" Target="../tables/table408.xml"/><Relationship Id="rId31" Type="http://schemas.openxmlformats.org/officeDocument/2006/relationships/table" Target="../tables/table390.xml"/><Relationship Id="rId30" Type="http://schemas.openxmlformats.org/officeDocument/2006/relationships/table" Target="../tables/table389.xml"/><Relationship Id="rId33" Type="http://schemas.openxmlformats.org/officeDocument/2006/relationships/table" Target="../tables/table392.xml"/><Relationship Id="rId32" Type="http://schemas.openxmlformats.org/officeDocument/2006/relationships/table" Target="../tables/table391.xml"/><Relationship Id="rId35" Type="http://schemas.openxmlformats.org/officeDocument/2006/relationships/table" Target="../tables/table394.xml"/><Relationship Id="rId34" Type="http://schemas.openxmlformats.org/officeDocument/2006/relationships/table" Target="../tables/table393.xml"/><Relationship Id="rId37" Type="http://schemas.openxmlformats.org/officeDocument/2006/relationships/table" Target="../tables/table396.xml"/><Relationship Id="rId36" Type="http://schemas.openxmlformats.org/officeDocument/2006/relationships/table" Target="../tables/table395.xml"/><Relationship Id="rId39" Type="http://schemas.openxmlformats.org/officeDocument/2006/relationships/table" Target="../tables/table398.xml"/><Relationship Id="rId38" Type="http://schemas.openxmlformats.org/officeDocument/2006/relationships/table" Target="../tables/table397.xml"/><Relationship Id="rId26" Type="http://schemas.openxmlformats.org/officeDocument/2006/relationships/table" Target="../tables/table385.xml"/><Relationship Id="rId28" Type="http://schemas.openxmlformats.org/officeDocument/2006/relationships/table" Target="../tables/table387.xml"/><Relationship Id="rId27" Type="http://schemas.openxmlformats.org/officeDocument/2006/relationships/table" Target="../tables/table386.xml"/><Relationship Id="rId29" Type="http://schemas.openxmlformats.org/officeDocument/2006/relationships/table" Target="../tables/table388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424.xml"/><Relationship Id="rId42" Type="http://schemas.openxmlformats.org/officeDocument/2006/relationships/table" Target="../tables/table426.xml"/><Relationship Id="rId41" Type="http://schemas.openxmlformats.org/officeDocument/2006/relationships/table" Target="../tables/table425.xml"/><Relationship Id="rId44" Type="http://schemas.openxmlformats.org/officeDocument/2006/relationships/table" Target="../tables/table428.xml"/><Relationship Id="rId43" Type="http://schemas.openxmlformats.org/officeDocument/2006/relationships/table" Target="../tables/table427.xml"/><Relationship Id="rId46" Type="http://schemas.openxmlformats.org/officeDocument/2006/relationships/table" Target="../tables/table430.xml"/><Relationship Id="rId45" Type="http://schemas.openxmlformats.org/officeDocument/2006/relationships/table" Target="../tables/table429.xml"/><Relationship Id="rId47" Type="http://schemas.openxmlformats.org/officeDocument/2006/relationships/table" Target="../tables/table431.xml"/><Relationship Id="rId31" Type="http://schemas.openxmlformats.org/officeDocument/2006/relationships/table" Target="../tables/table415.xml"/><Relationship Id="rId30" Type="http://schemas.openxmlformats.org/officeDocument/2006/relationships/table" Target="../tables/table414.xml"/><Relationship Id="rId33" Type="http://schemas.openxmlformats.org/officeDocument/2006/relationships/table" Target="../tables/table417.xml"/><Relationship Id="rId32" Type="http://schemas.openxmlformats.org/officeDocument/2006/relationships/table" Target="../tables/table416.xml"/><Relationship Id="rId35" Type="http://schemas.openxmlformats.org/officeDocument/2006/relationships/table" Target="../tables/table419.xml"/><Relationship Id="rId34" Type="http://schemas.openxmlformats.org/officeDocument/2006/relationships/table" Target="../tables/table418.xml"/><Relationship Id="rId37" Type="http://schemas.openxmlformats.org/officeDocument/2006/relationships/table" Target="../tables/table421.xml"/><Relationship Id="rId36" Type="http://schemas.openxmlformats.org/officeDocument/2006/relationships/table" Target="../tables/table420.xml"/><Relationship Id="rId39" Type="http://schemas.openxmlformats.org/officeDocument/2006/relationships/table" Target="../tables/table423.xml"/><Relationship Id="rId38" Type="http://schemas.openxmlformats.org/officeDocument/2006/relationships/table" Target="../tables/table422.xml"/><Relationship Id="rId26" Type="http://schemas.openxmlformats.org/officeDocument/2006/relationships/table" Target="../tables/table410.xml"/><Relationship Id="rId25" Type="http://schemas.openxmlformats.org/officeDocument/2006/relationships/table" Target="../tables/table409.xml"/><Relationship Id="rId28" Type="http://schemas.openxmlformats.org/officeDocument/2006/relationships/table" Target="../tables/table412.xml"/><Relationship Id="rId27" Type="http://schemas.openxmlformats.org/officeDocument/2006/relationships/table" Target="../tables/table411.xml"/><Relationship Id="rId29" Type="http://schemas.openxmlformats.org/officeDocument/2006/relationships/table" Target="../tables/table413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447.xml"/><Relationship Id="rId42" Type="http://schemas.openxmlformats.org/officeDocument/2006/relationships/table" Target="../tables/table449.xml"/><Relationship Id="rId41" Type="http://schemas.openxmlformats.org/officeDocument/2006/relationships/table" Target="../tables/table448.xml"/><Relationship Id="rId44" Type="http://schemas.openxmlformats.org/officeDocument/2006/relationships/table" Target="../tables/table451.xml"/><Relationship Id="rId43" Type="http://schemas.openxmlformats.org/officeDocument/2006/relationships/table" Target="../tables/table450.xml"/><Relationship Id="rId46" Type="http://schemas.openxmlformats.org/officeDocument/2006/relationships/table" Target="../tables/table453.xml"/><Relationship Id="rId45" Type="http://schemas.openxmlformats.org/officeDocument/2006/relationships/table" Target="../tables/table452.xml"/><Relationship Id="rId47" Type="http://schemas.openxmlformats.org/officeDocument/2006/relationships/table" Target="../tables/table454.xml"/><Relationship Id="rId31" Type="http://schemas.openxmlformats.org/officeDocument/2006/relationships/table" Target="../tables/table438.xml"/><Relationship Id="rId30" Type="http://schemas.openxmlformats.org/officeDocument/2006/relationships/table" Target="../tables/table437.xml"/><Relationship Id="rId33" Type="http://schemas.openxmlformats.org/officeDocument/2006/relationships/table" Target="../tables/table440.xml"/><Relationship Id="rId32" Type="http://schemas.openxmlformats.org/officeDocument/2006/relationships/table" Target="../tables/table439.xml"/><Relationship Id="rId35" Type="http://schemas.openxmlformats.org/officeDocument/2006/relationships/table" Target="../tables/table442.xml"/><Relationship Id="rId34" Type="http://schemas.openxmlformats.org/officeDocument/2006/relationships/table" Target="../tables/table441.xml"/><Relationship Id="rId37" Type="http://schemas.openxmlformats.org/officeDocument/2006/relationships/table" Target="../tables/table444.xml"/><Relationship Id="rId36" Type="http://schemas.openxmlformats.org/officeDocument/2006/relationships/table" Target="../tables/table443.xml"/><Relationship Id="rId39" Type="http://schemas.openxmlformats.org/officeDocument/2006/relationships/table" Target="../tables/table446.xml"/><Relationship Id="rId38" Type="http://schemas.openxmlformats.org/officeDocument/2006/relationships/table" Target="../tables/table445.xml"/><Relationship Id="rId26" Type="http://schemas.openxmlformats.org/officeDocument/2006/relationships/table" Target="../tables/table433.xml"/><Relationship Id="rId25" Type="http://schemas.openxmlformats.org/officeDocument/2006/relationships/table" Target="../tables/table432.xml"/><Relationship Id="rId28" Type="http://schemas.openxmlformats.org/officeDocument/2006/relationships/table" Target="../tables/table435.xml"/><Relationship Id="rId27" Type="http://schemas.openxmlformats.org/officeDocument/2006/relationships/table" Target="../tables/table434.xml"/><Relationship Id="rId29" Type="http://schemas.openxmlformats.org/officeDocument/2006/relationships/table" Target="../tables/table436.xml"/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8.0"/>
    <col customWidth="1" min="4" max="20" width="2.63"/>
    <col customWidth="1" min="21" max="21" width="10.5"/>
    <col customWidth="1" min="22" max="39" width="2.63"/>
    <col customWidth="1" min="40" max="40" width="10.5"/>
    <col customWidth="1" min="41" max="55" width="2.63"/>
    <col customWidth="1" min="56" max="56" width="10.5"/>
    <col customWidth="1" min="57" max="92" width="2.63"/>
  </cols>
  <sheetData>
    <row r="1">
      <c r="A1" s="1" t="s">
        <v>0</v>
      </c>
      <c r="D1" s="2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5" t="s">
        <v>2</v>
      </c>
      <c r="V1" s="2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5" t="s">
        <v>2</v>
      </c>
      <c r="AO1" s="2" t="s">
        <v>4</v>
      </c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4"/>
      <c r="BD1" s="5" t="s">
        <v>2</v>
      </c>
    </row>
    <row r="2">
      <c r="C2" s="6"/>
      <c r="D2" s="7"/>
      <c r="T2" s="8"/>
      <c r="U2" s="9">
        <f>COUNT(E4:T4)</f>
        <v>16</v>
      </c>
      <c r="V2" s="7"/>
      <c r="AM2" s="8"/>
      <c r="AN2" s="9">
        <f>COUNT(V4:AM4)</f>
        <v>18</v>
      </c>
      <c r="AO2" s="7"/>
      <c r="BC2" s="8"/>
      <c r="BD2" s="9">
        <f>COUNT(AO4:BC4)</f>
        <v>15</v>
      </c>
    </row>
    <row r="3">
      <c r="C3" s="6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4"/>
      <c r="U3" s="15"/>
      <c r="V3" s="12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4"/>
      <c r="AN3" s="15"/>
      <c r="AO3" s="12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4"/>
      <c r="BD3" s="15"/>
    </row>
    <row r="4">
      <c r="A4" s="16" t="s">
        <v>10</v>
      </c>
      <c r="B4" s="17" t="s">
        <v>11</v>
      </c>
      <c r="C4" s="16" t="s">
        <v>12</v>
      </c>
      <c r="D4" s="18">
        <v>1.0</v>
      </c>
      <c r="E4" s="18">
        <v>2.0</v>
      </c>
      <c r="F4" s="18">
        <v>3.0</v>
      </c>
      <c r="G4" s="18">
        <v>6.0</v>
      </c>
      <c r="H4" s="18">
        <v>7.0</v>
      </c>
      <c r="I4" s="18">
        <v>8.0</v>
      </c>
      <c r="J4" s="18">
        <v>9.0</v>
      </c>
      <c r="K4" s="18">
        <v>10.0</v>
      </c>
      <c r="L4" s="18">
        <v>13.0</v>
      </c>
      <c r="M4" s="18">
        <v>20.0</v>
      </c>
      <c r="N4" s="18">
        <v>21.0</v>
      </c>
      <c r="O4" s="18">
        <v>22.0</v>
      </c>
      <c r="P4" s="18">
        <v>23.0</v>
      </c>
      <c r="Q4" s="18">
        <v>24.0</v>
      </c>
      <c r="R4" s="18">
        <v>29.0</v>
      </c>
      <c r="S4" s="18">
        <v>30.0</v>
      </c>
      <c r="T4" s="18">
        <v>31.0</v>
      </c>
      <c r="U4" s="19" t="s">
        <v>13</v>
      </c>
      <c r="V4" s="18">
        <v>3.0</v>
      </c>
      <c r="W4" s="18">
        <v>4.0</v>
      </c>
      <c r="X4" s="18">
        <v>5.0</v>
      </c>
      <c r="Y4" s="18">
        <v>6.0</v>
      </c>
      <c r="Z4" s="18">
        <v>7.0</v>
      </c>
      <c r="AA4" s="18">
        <v>10.0</v>
      </c>
      <c r="AB4" s="18">
        <v>11.0</v>
      </c>
      <c r="AC4" s="18">
        <v>12.0</v>
      </c>
      <c r="AD4" s="18">
        <v>13.0</v>
      </c>
      <c r="AE4" s="18">
        <v>14.0</v>
      </c>
      <c r="AF4" s="18">
        <v>17.0</v>
      </c>
      <c r="AG4" s="18">
        <v>18.0</v>
      </c>
      <c r="AH4" s="18">
        <v>19.0</v>
      </c>
      <c r="AI4" s="18">
        <v>24.0</v>
      </c>
      <c r="AJ4" s="18">
        <v>25.0</v>
      </c>
      <c r="AK4" s="18">
        <v>26.0</v>
      </c>
      <c r="AL4" s="18">
        <v>27.0</v>
      </c>
      <c r="AM4" s="18">
        <v>28.0</v>
      </c>
      <c r="AN4" s="19" t="s">
        <v>13</v>
      </c>
      <c r="AO4" s="18">
        <v>1.0</v>
      </c>
      <c r="AP4" s="18">
        <v>2.0</v>
      </c>
      <c r="AQ4" s="18">
        <v>3.0</v>
      </c>
      <c r="AR4" s="18">
        <v>4.0</v>
      </c>
      <c r="AS4" s="18">
        <v>5.0</v>
      </c>
      <c r="AT4" s="18">
        <v>8.0</v>
      </c>
      <c r="AU4" s="18">
        <v>9.0</v>
      </c>
      <c r="AV4" s="18">
        <v>10.0</v>
      </c>
      <c r="AW4" s="18">
        <v>11.0</v>
      </c>
      <c r="AX4" s="18">
        <v>12.0</v>
      </c>
      <c r="AY4" s="18">
        <v>15.0</v>
      </c>
      <c r="AZ4" s="18">
        <v>16.0</v>
      </c>
      <c r="BA4" s="18">
        <v>17.0</v>
      </c>
      <c r="BB4" s="18">
        <v>18.0</v>
      </c>
      <c r="BC4" s="18">
        <v>19.0</v>
      </c>
      <c r="BD4" s="19" t="s">
        <v>13</v>
      </c>
    </row>
    <row r="5">
      <c r="A5" s="16">
        <v>1.0</v>
      </c>
      <c r="B5" s="20"/>
      <c r="C5" s="21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22">
        <f>COUNTIF(E5:T5,"P")/COUNT(E4:T4)</f>
        <v>0</v>
      </c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2">
        <f>COUNTIF(V5:AM5,"P")/COUNT(V4:AM4)</f>
        <v>0</v>
      </c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2">
        <f>COUNTIF(AO5:BC5,"P")/COUNT(AO4:BC4)</f>
        <v>0</v>
      </c>
    </row>
    <row r="6">
      <c r="A6" s="16">
        <v>2.0</v>
      </c>
      <c r="B6" s="20"/>
      <c r="C6" s="21"/>
      <c r="D6" s="16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2">
        <f>COUNTIF(E6:T6,"P")/COUNT(E4:T4)</f>
        <v>0</v>
      </c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2">
        <f>COUNTIF(V6:AM6,"P")/COUNT(V4:AM4)</f>
        <v>0</v>
      </c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2">
        <f>COUNTIF(AO6:BC6,"P")/COUNT(AO4:BC4)</f>
        <v>0</v>
      </c>
    </row>
    <row r="7">
      <c r="A7" s="16">
        <v>3.0</v>
      </c>
      <c r="B7" s="20"/>
      <c r="C7" s="21"/>
      <c r="D7" s="16"/>
      <c r="E7" s="21"/>
      <c r="F7" s="21"/>
      <c r="G7" s="21"/>
      <c r="H7" s="16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2">
        <f>COUNTIF(E7:T7,"P")/COUNT(E4:T4)</f>
        <v>0</v>
      </c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2">
        <f>COUNTIF(V7:AM7,"P")/COUNT(V4:AM4)</f>
        <v>0</v>
      </c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2">
        <f>COUNTIF(AO7:BC7,"P")/COUNT(AO4:BC4)</f>
        <v>0</v>
      </c>
    </row>
    <row r="8">
      <c r="A8" s="16">
        <v>4.0</v>
      </c>
      <c r="B8" s="20"/>
      <c r="C8" s="21"/>
      <c r="D8" s="16"/>
      <c r="E8" s="21"/>
      <c r="F8" s="21"/>
      <c r="G8" s="21"/>
      <c r="H8" s="16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2">
        <f>COUNTIF(E8:T8,"P")/COUNT(E4:T4)</f>
        <v>0</v>
      </c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2">
        <f>COUNTIF(V8:AM8,"P")/COUNT(V4:AM4)</f>
        <v>0</v>
      </c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2">
        <f>COUNTIF(AO8:BC8,"P")/COUNT(AO4:BC4)</f>
        <v>0</v>
      </c>
    </row>
    <row r="9">
      <c r="A9" s="16">
        <v>5.0</v>
      </c>
      <c r="B9" s="20"/>
      <c r="C9" s="21"/>
      <c r="D9" s="16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2">
        <f>COUNTIF(E9:T9,"P")/COUNT(E4:T4)</f>
        <v>0</v>
      </c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2">
        <f>COUNTIF(V9:AM9,"P")/COUNT(V4:AM4)</f>
        <v>0</v>
      </c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2">
        <f>COUNTIF(AO9:BC9,"P")/COUNT(AO4:BC4)</f>
        <v>0</v>
      </c>
    </row>
    <row r="10">
      <c r="A10" s="16">
        <v>6.0</v>
      </c>
      <c r="B10" s="20"/>
      <c r="C10" s="21"/>
      <c r="D10" s="16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2">
        <f>COUNTIF(E10:T10,"P")/COUNT(E4:T4)</f>
        <v>0</v>
      </c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2">
        <f>COUNTIF(V10:AM10,"P")/COUNT(V4:AM8)</f>
        <v>0</v>
      </c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2">
        <f>COUNTIF(AO10:BC10,"P")/COUNT(AO4:BC4)</f>
        <v>0</v>
      </c>
    </row>
    <row r="11">
      <c r="A11" s="16">
        <v>7.0</v>
      </c>
      <c r="B11" s="20"/>
      <c r="C11" s="21"/>
      <c r="D11" s="16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2">
        <f>COUNTIF(E11:T11,"P")/COUNT(E4:T4)</f>
        <v>0</v>
      </c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2">
        <f>COUNTIF(V11:AM11,"P")/COUNT(V4:AM4)</f>
        <v>0</v>
      </c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2">
        <f>COUNTIF(AO11:BC11,"P")/COUNT(AO4:BC4)</f>
        <v>0</v>
      </c>
    </row>
    <row r="12">
      <c r="A12" s="16">
        <v>8.0</v>
      </c>
      <c r="B12" s="20"/>
      <c r="C12" s="21"/>
      <c r="D12" s="16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2">
        <f>COUNTIF(E12:T12,"P")/COUNT(E4:T4)</f>
        <v>0</v>
      </c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2">
        <f>COUNTIF(V12:AM12,"P")/COUNT(V4:AM4)</f>
        <v>0</v>
      </c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2">
        <f>COUNTIF(AO12:BC12,"P")/COUNT(AO4:BC4)</f>
        <v>0</v>
      </c>
    </row>
    <row r="13">
      <c r="A13" s="16">
        <v>9.0</v>
      </c>
      <c r="B13" s="20"/>
      <c r="C13" s="21"/>
      <c r="D13" s="16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2">
        <f>COUNTIF(E13:T13,"P")/COUNT(E4:T4)</f>
        <v>0</v>
      </c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2">
        <f>COUNTIF(V13:AM13,"P")/COUNT(V4:AM4)</f>
        <v>0</v>
      </c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2">
        <f>COUNTIF(AO13:BC13,"P")/COUNT(AO4:BC4)</f>
        <v>0</v>
      </c>
    </row>
    <row r="14">
      <c r="A14" s="16">
        <v>10.0</v>
      </c>
      <c r="B14" s="20"/>
      <c r="C14" s="21"/>
      <c r="D14" s="16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2">
        <f>COUNTIF(E14:T14,"P")/COUNT(E4:T4)</f>
        <v>0</v>
      </c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2">
        <f>COUNTIF(V14:AM14,"P")/COUNT(A4:V4)</f>
        <v>0</v>
      </c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2">
        <f>COUNTIF(AO14:BC14,"P")/COUNT(AO4:BC4)</f>
        <v>0</v>
      </c>
    </row>
    <row r="15">
      <c r="A15" s="16">
        <v>11.0</v>
      </c>
      <c r="B15" s="20"/>
      <c r="C15" s="21"/>
      <c r="D15" s="16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2">
        <f>COUNTIF(E15:T15,"P")/COUNT(E4:T4)</f>
        <v>0</v>
      </c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2">
        <f>COUNTIF(V15:AM15,"P")/COUNT(V4:AM4)</f>
        <v>0</v>
      </c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2">
        <f>COUNTIF(AO15:BC15,"P")/COUNT(AO4:BC4)</f>
        <v>0</v>
      </c>
    </row>
    <row r="16">
      <c r="A16" s="16">
        <v>12.0</v>
      </c>
      <c r="B16" s="20"/>
      <c r="C16" s="21"/>
      <c r="D16" s="16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2">
        <f>COUNTIF(E16:T16,"P")/COUNT(E4:T4)</f>
        <v>0</v>
      </c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2">
        <f>COUNTIF(V16:AM16,"P")/COUNT(V4:AM4)</f>
        <v>0</v>
      </c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2">
        <f>COUNTIF(AO16:BC16,"P")/COUNT(AO4:BC4)</f>
        <v>0</v>
      </c>
    </row>
    <row r="17">
      <c r="A17" s="16">
        <v>13.0</v>
      </c>
      <c r="B17" s="20"/>
      <c r="C17" s="21"/>
      <c r="D17" s="16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2">
        <f>COUNTIF(E17:T17,"P")/COUNT(E4:T4)</f>
        <v>0</v>
      </c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2">
        <f>COUNTIF(V17:AM17,"P")/COUNT(V4:AM4)</f>
        <v>0</v>
      </c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2">
        <f>COUNTIF(AO17:BC17,"P")/COUNT(AO4:BC4)</f>
        <v>0</v>
      </c>
    </row>
    <row r="18">
      <c r="A18" s="16">
        <v>14.0</v>
      </c>
      <c r="B18" s="20"/>
      <c r="C18" s="21"/>
      <c r="D18" s="16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2">
        <f>COUNTIF(E18:T18,"P")/COUNT(E4:T4)</f>
        <v>0</v>
      </c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2">
        <f>COUNTIF(V18:AM18,"P")/COUNT(V4:AM4)</f>
        <v>0</v>
      </c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2">
        <f>COUNTIF(AO18:BC18,"P")/COUNT(AO4:BC4)</f>
        <v>0</v>
      </c>
    </row>
    <row r="19">
      <c r="A19" s="16">
        <v>15.0</v>
      </c>
      <c r="B19" s="20"/>
      <c r="C19" s="21"/>
      <c r="D19" s="16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2">
        <f>COUNTIF(E19:T19,"P")/COUNT(E4:T4)</f>
        <v>0</v>
      </c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2">
        <f>COUNTIF(V19:AM19,"P")/COUNT(V4:AM4)</f>
        <v>0</v>
      </c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2">
        <f>COUNTIF(AO19:BC19,"P")/COUNT(AO4:BC4)</f>
        <v>0</v>
      </c>
    </row>
    <row r="20">
      <c r="A20" s="16">
        <v>16.0</v>
      </c>
      <c r="B20" s="20"/>
      <c r="C20" s="21"/>
      <c r="D20" s="16"/>
      <c r="E20" s="21"/>
      <c r="F20" s="21"/>
      <c r="G20" s="21"/>
      <c r="H20" s="16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2">
        <f>COUNTIF(E20:T20,"P")/COUNT(E4:T4)</f>
        <v>0</v>
      </c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2">
        <f>COUNTIF(V20:AM20,"P")/COUNT(V4:AM4)</f>
        <v>0</v>
      </c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2">
        <f>COUNTIF(AO20:BC20,"P")/COUNT(AO4:BC4)</f>
        <v>0</v>
      </c>
    </row>
    <row r="21">
      <c r="A21" s="16">
        <v>17.0</v>
      </c>
      <c r="B21" s="20"/>
      <c r="C21" s="21"/>
      <c r="D21" s="16"/>
      <c r="E21" s="21"/>
      <c r="F21" s="21"/>
      <c r="G21" s="21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22">
        <f>COUNTIF(E21:T21,"P")/COUNT(E4:T4)</f>
        <v>0</v>
      </c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2">
        <f>COUNTIF(V21:AM21,"P")/COUNT(V4:AM4)</f>
        <v>0</v>
      </c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2">
        <f>COUNTIF(AO21:BC21,"P")/COUNT(AO4:BC4)</f>
        <v>0</v>
      </c>
    </row>
    <row r="22">
      <c r="A22" s="16">
        <v>18.0</v>
      </c>
      <c r="B22" s="20"/>
      <c r="C22" s="21"/>
      <c r="D22" s="16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2">
        <f>COUNTIF(E22:T22,"P")/COUNT(E4:T4)</f>
        <v>0</v>
      </c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2">
        <f>COUNTIF(V22:AM22,"P")/COUNT(V4:AM4)</f>
        <v>0</v>
      </c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2">
        <f>COUNTIF(AO22:BC22,"P")/COUNT(AO4:BC4)</f>
        <v>0</v>
      </c>
    </row>
    <row r="23">
      <c r="A23" s="16">
        <v>19.0</v>
      </c>
      <c r="B23" s="20"/>
      <c r="C23" s="21"/>
      <c r="D23" s="16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2">
        <f>COUNTIF(E23:T23,"P")/COUNT(E4:T4)</f>
        <v>0</v>
      </c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2">
        <f>COUNTIF(V23:AM23,"P")/COUNT(V4:AM4)</f>
        <v>0</v>
      </c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2">
        <f>COUNTIF(AO23:BC23,"P")/COUNT(AO4:BC4)</f>
        <v>0</v>
      </c>
    </row>
    <row r="24">
      <c r="A24" s="16">
        <v>20.0</v>
      </c>
      <c r="B24" s="20"/>
      <c r="C24" s="21"/>
      <c r="D24" s="16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2">
        <f>COUNTIF(E24:T24,"P")/COUNT(E4:T4)</f>
        <v>0</v>
      </c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2">
        <f>COUNTIF(V24:AM24,"P")/COUNT(V4:AM4)</f>
        <v>0</v>
      </c>
      <c r="AO24" s="21"/>
      <c r="AP24" s="21"/>
      <c r="AQ24" s="21"/>
      <c r="AR24" s="21"/>
      <c r="AS24" s="21"/>
      <c r="AT24" s="21"/>
      <c r="AU24" s="21"/>
      <c r="AV24" s="21" t="s">
        <v>25</v>
      </c>
      <c r="AW24" s="21"/>
      <c r="AX24" s="21"/>
      <c r="AY24" s="21"/>
      <c r="AZ24" s="21"/>
      <c r="BA24" s="21"/>
      <c r="BB24" s="21"/>
      <c r="BC24" s="21"/>
      <c r="BD24" s="22">
        <f>COUNTIF(AO24:BC24,"P")/COUNT(AO4:BC4)</f>
        <v>0</v>
      </c>
    </row>
    <row r="25">
      <c r="A25" s="16">
        <v>21.0</v>
      </c>
      <c r="B25" s="20"/>
      <c r="C25" s="21"/>
      <c r="D25" s="16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2">
        <f>COUNTIF(E25:T25,"P")/COUNT(E4:T4)</f>
        <v>0</v>
      </c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2">
        <f>COUNTIF(V25:AM25,"P")/COUNT(V4:AM4)</f>
        <v>0</v>
      </c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2">
        <f>COUNTIF(AO25:BC25,"P")/COUNT(AO4:BC4)</f>
        <v>0</v>
      </c>
    </row>
    <row r="26">
      <c r="A26" s="16">
        <v>22.0</v>
      </c>
      <c r="B26" s="20"/>
      <c r="C26" s="21"/>
      <c r="D26" s="16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2">
        <f>COUNTIF(E26:T26,"P")/COUNT(E4:T4)</f>
        <v>0</v>
      </c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2">
        <f>COUNTIF(V26:AM26,"P")/COUNT(V4:AM4)</f>
        <v>0</v>
      </c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2">
        <f>COUNTIF(AO26:BC26,"P")/COUNT(AO4:BC4)</f>
        <v>0</v>
      </c>
    </row>
    <row r="27">
      <c r="A27" s="16">
        <v>23.0</v>
      </c>
      <c r="B27" s="20"/>
      <c r="C27" s="21"/>
      <c r="D27" s="16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2">
        <f>COUNTIF(E27:T27,"P")/COUNT(E4:T4)</f>
        <v>0</v>
      </c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2">
        <f>COUNTIF(V27:AM27,"P")/COUNT(V4:AM4)</f>
        <v>0</v>
      </c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2">
        <f>COUNTIF(AO27:BC27,"P")/COUNT(AO4:BC4)</f>
        <v>0</v>
      </c>
    </row>
    <row r="28">
      <c r="A28" s="16">
        <v>24.0</v>
      </c>
      <c r="B28" s="20"/>
      <c r="C28" s="21"/>
      <c r="D28" s="16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2">
        <f>COUNTIF(E28:T28,"P")/COUNT(E4:T4)</f>
        <v>0</v>
      </c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2">
        <f>COUNTIF(V28:AM28,"P")/COUNT(V4:AM4)</f>
        <v>0</v>
      </c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2">
        <f>COUNTIF(AO28:BC28,"P")/COUNT(AO4:BC4)</f>
        <v>0</v>
      </c>
    </row>
    <row r="29">
      <c r="A29" s="16">
        <v>25.0</v>
      </c>
      <c r="B29" s="20"/>
      <c r="C29" s="21"/>
      <c r="D29" s="16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2">
        <f>COUNTIF(E29:T29,"P")/COUNT(E4:T4)</f>
        <v>0</v>
      </c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2">
        <f>COUNTIF(V29:AM29,"P")/COUNT(V4:AM1001)</f>
        <v>0</v>
      </c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2">
        <f>COUNTIF(AO29:BC29,"P")/COUNT(AO4:BC4)</f>
        <v>0</v>
      </c>
    </row>
    <row r="30">
      <c r="A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95"/>
    </row>
    <row r="31">
      <c r="A31" s="6"/>
      <c r="B31" s="96" t="s">
        <v>28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95"/>
    </row>
    <row r="32">
      <c r="A32" s="6"/>
      <c r="B32" s="97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101"/>
    </row>
    <row r="33">
      <c r="A33" s="6"/>
      <c r="B33" s="97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101"/>
    </row>
    <row r="34">
      <c r="A34" s="6"/>
      <c r="B34" s="97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101"/>
    </row>
    <row r="35">
      <c r="A35" s="6"/>
      <c r="B35" s="97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101"/>
    </row>
    <row r="36">
      <c r="A36" s="6"/>
      <c r="B36" s="97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101"/>
    </row>
    <row r="37">
      <c r="A37" s="6"/>
      <c r="B37" s="97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101"/>
    </row>
    <row r="38">
      <c r="A38" s="6"/>
      <c r="B38" s="97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101"/>
    </row>
    <row r="39">
      <c r="A39" s="6"/>
      <c r="B39" s="97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101"/>
    </row>
    <row r="40">
      <c r="A40" s="6"/>
      <c r="B40" s="97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101"/>
    </row>
    <row r="41">
      <c r="A41" s="6"/>
      <c r="B41" s="97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101"/>
    </row>
    <row r="42">
      <c r="B42" s="97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101"/>
    </row>
  </sheetData>
  <mergeCells count="18">
    <mergeCell ref="A1:C1"/>
    <mergeCell ref="D1:T3"/>
    <mergeCell ref="V1:AM3"/>
    <mergeCell ref="AO1:BC3"/>
    <mergeCell ref="U2:U3"/>
    <mergeCell ref="AN2:AN3"/>
    <mergeCell ref="BD2:BD3"/>
    <mergeCell ref="B39:AM39"/>
    <mergeCell ref="B40:AM40"/>
    <mergeCell ref="B41:AM41"/>
    <mergeCell ref="B42:AM42"/>
    <mergeCell ref="B32:AM32"/>
    <mergeCell ref="B33:AM33"/>
    <mergeCell ref="B34:AM34"/>
    <mergeCell ref="B35:AM35"/>
    <mergeCell ref="B36:AM36"/>
    <mergeCell ref="B37:AM37"/>
    <mergeCell ref="B38:AM38"/>
  </mergeCells>
  <conditionalFormatting sqref="D5:T29 V5:AM29 AO5:BC29">
    <cfRule type="cellIs" dxfId="3" priority="1" operator="equal">
      <formula>"P"</formula>
    </cfRule>
  </conditionalFormatting>
  <conditionalFormatting sqref="D5:T29 V5:AM29 AO5:BC29">
    <cfRule type="cellIs" dxfId="4" priority="2" operator="equal">
      <formula>"F"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4.0"/>
    <col customWidth="1" min="2" max="2" width="43.13"/>
    <col customWidth="1" min="4" max="23" width="2.63"/>
    <col customWidth="1" min="24" max="24" width="10.5"/>
    <col customWidth="1" min="25" max="44" width="2.63"/>
    <col customWidth="1" min="45" max="45" width="10.5"/>
    <col customWidth="1" min="46" max="52" width="2.63"/>
    <col customWidth="1" min="53" max="53" width="10.5"/>
    <col customWidth="1" min="54" max="75" width="2.63"/>
    <col customWidth="1" min="76" max="76" width="10.5"/>
    <col customWidth="1" min="77" max="95" width="2.63"/>
  </cols>
  <sheetData>
    <row r="1">
      <c r="A1" s="1" t="s">
        <v>6</v>
      </c>
      <c r="B1" s="1"/>
      <c r="C1" s="10"/>
      <c r="D1" s="11" t="s">
        <v>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 t="s">
        <v>2</v>
      </c>
      <c r="Y1" s="2" t="s">
        <v>7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4"/>
      <c r="AS1" s="5" t="s">
        <v>2</v>
      </c>
      <c r="AT1" s="2" t="s">
        <v>8</v>
      </c>
      <c r="AU1" s="3"/>
      <c r="AV1" s="3"/>
      <c r="AW1" s="3"/>
      <c r="AX1" s="3"/>
      <c r="AY1" s="3"/>
      <c r="AZ1" s="4"/>
      <c r="BA1" s="5" t="s">
        <v>2</v>
      </c>
      <c r="BB1" s="2" t="s">
        <v>9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4"/>
      <c r="BX1" s="5" t="s">
        <v>2</v>
      </c>
    </row>
    <row r="2">
      <c r="C2" s="6"/>
      <c r="D2" s="7"/>
      <c r="W2" s="8"/>
      <c r="X2" s="9">
        <f>COUNT(D4:Q4)</f>
        <v>14</v>
      </c>
      <c r="Y2" s="7"/>
      <c r="AR2" s="8"/>
      <c r="AS2" s="9">
        <f>COUNT(Y4:AR4)</f>
        <v>20</v>
      </c>
      <c r="AT2" s="7"/>
      <c r="AZ2" s="8"/>
      <c r="BA2" s="9">
        <f>COUNT(AT4:AZ4)</f>
        <v>7</v>
      </c>
      <c r="BB2" s="7"/>
      <c r="BW2" s="8"/>
      <c r="BX2" s="9">
        <f>COUNT(BB4:BQ4)</f>
        <v>16</v>
      </c>
    </row>
    <row r="3">
      <c r="C3" s="6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4"/>
      <c r="X3" s="15"/>
      <c r="Y3" s="12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4"/>
      <c r="AS3" s="15"/>
      <c r="AT3" s="12"/>
      <c r="AU3" s="13"/>
      <c r="AV3" s="13"/>
      <c r="AW3" s="13"/>
      <c r="AX3" s="13"/>
      <c r="AY3" s="13"/>
      <c r="AZ3" s="14"/>
      <c r="BA3" s="15"/>
      <c r="BB3" s="12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4"/>
      <c r="BX3" s="15"/>
    </row>
    <row r="4">
      <c r="A4" s="16" t="s">
        <v>10</v>
      </c>
      <c r="B4" s="17" t="s">
        <v>11</v>
      </c>
      <c r="C4" s="16" t="s">
        <v>14</v>
      </c>
      <c r="D4" s="23">
        <v>4.0</v>
      </c>
      <c r="E4" s="23">
        <v>5.0</v>
      </c>
      <c r="F4" s="23">
        <v>6.0</v>
      </c>
      <c r="G4" s="23">
        <v>7.0</v>
      </c>
      <c r="H4" s="23">
        <v>8.0</v>
      </c>
      <c r="I4" s="23">
        <v>11.0</v>
      </c>
      <c r="J4" s="23">
        <v>12.0</v>
      </c>
      <c r="K4" s="23">
        <v>13.0</v>
      </c>
      <c r="L4" s="23">
        <v>14.0</v>
      </c>
      <c r="M4" s="23">
        <v>15.0</v>
      </c>
      <c r="N4" s="23">
        <v>18.0</v>
      </c>
      <c r="O4" s="23">
        <v>19.0</v>
      </c>
      <c r="P4" s="23">
        <v>20.0</v>
      </c>
      <c r="Q4" s="23">
        <v>21.0</v>
      </c>
      <c r="R4" s="23">
        <v>22.0</v>
      </c>
      <c r="S4" s="23">
        <v>25.0</v>
      </c>
      <c r="T4" s="23">
        <v>26.0</v>
      </c>
      <c r="U4" s="23">
        <v>27.0</v>
      </c>
      <c r="V4" s="23">
        <v>28.0</v>
      </c>
      <c r="W4" s="23">
        <v>29.0</v>
      </c>
      <c r="X4" s="19" t="s">
        <v>13</v>
      </c>
      <c r="Y4" s="18">
        <v>1.0</v>
      </c>
      <c r="Z4" s="18">
        <v>2.0</v>
      </c>
      <c r="AA4" s="18">
        <v>3.0</v>
      </c>
      <c r="AB4" s="18">
        <v>8.0</v>
      </c>
      <c r="AC4" s="18">
        <v>9.0</v>
      </c>
      <c r="AD4" s="18">
        <v>10.0</v>
      </c>
      <c r="AE4" s="18">
        <v>11.0</v>
      </c>
      <c r="AF4" s="18">
        <v>12.0</v>
      </c>
      <c r="AG4" s="18">
        <v>15.0</v>
      </c>
      <c r="AH4" s="18">
        <v>16.0</v>
      </c>
      <c r="AI4" s="18">
        <v>17.0</v>
      </c>
      <c r="AJ4" s="18">
        <v>18.0</v>
      </c>
      <c r="AK4" s="18">
        <v>19.0</v>
      </c>
      <c r="AL4" s="18">
        <v>22.0</v>
      </c>
      <c r="AM4" s="18">
        <v>23.0</v>
      </c>
      <c r="AN4" s="18">
        <v>24.0</v>
      </c>
      <c r="AO4" s="18">
        <v>25.0</v>
      </c>
      <c r="AP4" s="18">
        <v>26.0</v>
      </c>
      <c r="AQ4" s="18">
        <v>29.0</v>
      </c>
      <c r="AR4" s="18">
        <v>30.0</v>
      </c>
      <c r="AS4" s="19" t="s">
        <v>13</v>
      </c>
      <c r="AT4" s="18">
        <v>1.0</v>
      </c>
      <c r="AU4" s="18">
        <v>2.0</v>
      </c>
      <c r="AV4" s="18">
        <v>3.0</v>
      </c>
      <c r="AW4" s="18">
        <v>28.0</v>
      </c>
      <c r="AX4" s="18">
        <v>29.0</v>
      </c>
      <c r="AY4" s="18">
        <v>30.0</v>
      </c>
      <c r="AZ4" s="18">
        <v>31.0</v>
      </c>
      <c r="BA4" s="19" t="s">
        <v>13</v>
      </c>
      <c r="BB4" s="18">
        <v>3.0</v>
      </c>
      <c r="BC4" s="18">
        <v>4.0</v>
      </c>
      <c r="BD4" s="18">
        <v>5.0</v>
      </c>
      <c r="BE4" s="18">
        <v>6.0</v>
      </c>
      <c r="BF4" s="18">
        <v>7.0</v>
      </c>
      <c r="BG4" s="18">
        <v>10.0</v>
      </c>
      <c r="BH4" s="18">
        <v>11.0</v>
      </c>
      <c r="BI4" s="18">
        <v>12.0</v>
      </c>
      <c r="BJ4" s="18">
        <v>13.0</v>
      </c>
      <c r="BK4" s="18">
        <v>14.0</v>
      </c>
      <c r="BL4" s="18">
        <v>17.0</v>
      </c>
      <c r="BM4" s="18">
        <v>18.0</v>
      </c>
      <c r="BN4" s="18">
        <v>19.0</v>
      </c>
      <c r="BO4" s="18">
        <v>20.0</v>
      </c>
      <c r="BP4" s="18">
        <v>21.0</v>
      </c>
      <c r="BQ4" s="18">
        <v>22.0</v>
      </c>
      <c r="BR4" s="18">
        <v>24.0</v>
      </c>
      <c r="BS4" s="18">
        <v>25.0</v>
      </c>
      <c r="BT4" s="18">
        <v>26.0</v>
      </c>
      <c r="BU4" s="18">
        <v>27.0</v>
      </c>
      <c r="BV4" s="18">
        <v>28.0</v>
      </c>
      <c r="BW4" s="18">
        <v>31.0</v>
      </c>
      <c r="BX4" s="19" t="s">
        <v>13</v>
      </c>
    </row>
    <row r="5">
      <c r="A5" s="24">
        <v>1.0</v>
      </c>
      <c r="B5" s="30"/>
      <c r="C5" s="31" t="s">
        <v>17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3" t="s">
        <v>18</v>
      </c>
      <c r="V5" s="32"/>
      <c r="W5" s="32"/>
      <c r="X5" s="40" t="str">
        <f t="shared" ref="X5:X34" si="1">IFERROR(COUNTIF(D5:W5,"P")/(COUNTIF(D5:W5,"P")+COUNTIF(D5:W5,"F")), "0,00%")</f>
        <v>0,00%</v>
      </c>
      <c r="Y5" s="32"/>
      <c r="Z5" s="32"/>
      <c r="AA5" s="42" t="s">
        <v>18</v>
      </c>
      <c r="AB5" s="42" t="s">
        <v>18</v>
      </c>
      <c r="AC5" s="32"/>
      <c r="AD5" s="42" t="s">
        <v>18</v>
      </c>
      <c r="AE5" s="32"/>
      <c r="AF5" s="42" t="s">
        <v>18</v>
      </c>
      <c r="AG5" s="32"/>
      <c r="AH5" s="32"/>
      <c r="AI5" s="42" t="s">
        <v>18</v>
      </c>
      <c r="AJ5" s="32"/>
      <c r="AK5" s="42" t="s">
        <v>18</v>
      </c>
      <c r="AL5" s="32"/>
      <c r="AM5" s="32"/>
      <c r="AN5" s="42" t="s">
        <v>18</v>
      </c>
      <c r="AO5" s="32"/>
      <c r="AP5" s="42" t="s">
        <v>18</v>
      </c>
      <c r="AQ5" s="32"/>
      <c r="AR5" s="42" t="s">
        <v>18</v>
      </c>
      <c r="AS5" s="40" t="str">
        <f t="shared" ref="AS5:AS34" si="2">IFERROR(COUNTIF(Y5:AR5,"P")/(COUNTIF(Y5:AR5,"P")+COUNTIF(Y5:AR5,"F")), "0,00%")</f>
        <v>0,00%</v>
      </c>
      <c r="AT5" s="42" t="s">
        <v>18</v>
      </c>
      <c r="AU5" s="32"/>
      <c r="AV5" s="32"/>
      <c r="AW5" s="32"/>
      <c r="AX5" s="42" t="s">
        <v>18</v>
      </c>
      <c r="AY5" s="32"/>
      <c r="AZ5" s="32"/>
      <c r="BA5" s="40" t="str">
        <f t="shared" ref="BA5:BA34" si="3">IFERROR(COUNTIF(AT5:AZ5,"P")/(COUNTIF(AT5:AZ5,"P")+COUNTIF(AT5:AZ5,"F")), "0,00%")</f>
        <v>0,00%</v>
      </c>
      <c r="BB5" s="32"/>
      <c r="BC5" s="32"/>
      <c r="BD5" s="32"/>
      <c r="BE5" s="32"/>
      <c r="BF5" s="42" t="s">
        <v>18</v>
      </c>
      <c r="BG5" s="32"/>
      <c r="BH5" s="42" t="s">
        <v>18</v>
      </c>
      <c r="BI5" s="42" t="s">
        <v>18</v>
      </c>
      <c r="BJ5" s="42" t="s">
        <v>18</v>
      </c>
      <c r="BK5" s="42" t="s">
        <v>18</v>
      </c>
      <c r="BL5" s="42" t="s">
        <v>18</v>
      </c>
      <c r="BM5" s="42" t="s">
        <v>18</v>
      </c>
      <c r="BN5" s="42" t="s">
        <v>18</v>
      </c>
      <c r="BO5" s="32"/>
      <c r="BP5" s="49" t="s">
        <v>18</v>
      </c>
      <c r="BQ5" s="32"/>
      <c r="BR5" s="49" t="s">
        <v>18</v>
      </c>
      <c r="BS5" s="32"/>
      <c r="BT5" s="32"/>
      <c r="BU5" s="49" t="s">
        <v>18</v>
      </c>
      <c r="BV5" s="32"/>
      <c r="BW5" s="32"/>
      <c r="BX5" s="48" t="str">
        <f t="shared" ref="BX5:BX34" si="4">IFERROR(COUNTIF(BB5:BW5,"P")/(COUNTIF(BB5:BW5,"P")+COUNTIF(BB5:BW5,"F")), "0,00%")</f>
        <v>0,00%</v>
      </c>
    </row>
    <row r="6">
      <c r="A6" s="24">
        <v>2.0</v>
      </c>
      <c r="B6" s="55"/>
      <c r="C6" s="56"/>
      <c r="D6" s="59" t="s">
        <v>15</v>
      </c>
      <c r="E6" s="59" t="s">
        <v>15</v>
      </c>
      <c r="F6" s="59" t="s">
        <v>16</v>
      </c>
      <c r="G6" s="59" t="s">
        <v>15</v>
      </c>
      <c r="H6" s="59" t="s">
        <v>15</v>
      </c>
      <c r="I6" s="59" t="s">
        <v>15</v>
      </c>
      <c r="J6" s="39" t="s">
        <v>15</v>
      </c>
      <c r="K6" s="39" t="s">
        <v>15</v>
      </c>
      <c r="L6" s="59" t="s">
        <v>15</v>
      </c>
      <c r="M6" s="59" t="s">
        <v>15</v>
      </c>
      <c r="N6" s="59" t="s">
        <v>15</v>
      </c>
      <c r="O6" s="61" t="s">
        <v>15</v>
      </c>
      <c r="P6" s="61" t="s">
        <v>15</v>
      </c>
      <c r="Q6" s="59" t="s">
        <v>15</v>
      </c>
      <c r="R6" s="61" t="s">
        <v>15</v>
      </c>
      <c r="S6" s="59" t="s">
        <v>15</v>
      </c>
      <c r="T6" s="59" t="s">
        <v>15</v>
      </c>
      <c r="U6" s="39" t="s">
        <v>15</v>
      </c>
      <c r="V6" s="59" t="s">
        <v>15</v>
      </c>
      <c r="W6" s="59" t="s">
        <v>15</v>
      </c>
      <c r="X6" s="34">
        <f t="shared" si="1"/>
        <v>0.95</v>
      </c>
      <c r="Y6" s="59" t="s">
        <v>15</v>
      </c>
      <c r="Z6" s="59" t="s">
        <v>15</v>
      </c>
      <c r="AA6" s="66" t="s">
        <v>15</v>
      </c>
      <c r="AB6" s="66" t="s">
        <v>15</v>
      </c>
      <c r="AC6" s="66" t="s">
        <v>15</v>
      </c>
      <c r="AD6" s="39" t="s">
        <v>15</v>
      </c>
      <c r="AE6" s="39" t="s">
        <v>15</v>
      </c>
      <c r="AF6" s="39" t="s">
        <v>15</v>
      </c>
      <c r="AG6" s="39" t="s">
        <v>15</v>
      </c>
      <c r="AH6" s="39" t="s">
        <v>15</v>
      </c>
      <c r="AI6" s="39" t="s">
        <v>15</v>
      </c>
      <c r="AJ6" s="29" t="s">
        <v>15</v>
      </c>
      <c r="AK6" s="39" t="s">
        <v>15</v>
      </c>
      <c r="AL6" s="39" t="s">
        <v>15</v>
      </c>
      <c r="AM6" s="39" t="s">
        <v>15</v>
      </c>
      <c r="AN6" s="39" t="s">
        <v>15</v>
      </c>
      <c r="AO6" s="39" t="s">
        <v>15</v>
      </c>
      <c r="AP6" s="39" t="s">
        <v>15</v>
      </c>
      <c r="AQ6" s="29" t="s">
        <v>16</v>
      </c>
      <c r="AR6" s="39" t="s">
        <v>15</v>
      </c>
      <c r="AS6" s="34">
        <f t="shared" si="2"/>
        <v>0.95</v>
      </c>
      <c r="AT6" s="70" t="s">
        <v>16</v>
      </c>
      <c r="AU6" s="29" t="s">
        <v>16</v>
      </c>
      <c r="AV6" s="39" t="s">
        <v>15</v>
      </c>
      <c r="AW6" s="29" t="s">
        <v>15</v>
      </c>
      <c r="AX6" s="39" t="s">
        <v>15</v>
      </c>
      <c r="AY6" s="39" t="s">
        <v>15</v>
      </c>
      <c r="AZ6" s="66" t="s">
        <v>16</v>
      </c>
      <c r="BA6" s="34">
        <f t="shared" si="3"/>
        <v>0.5714285714</v>
      </c>
      <c r="BB6" s="29" t="s">
        <v>15</v>
      </c>
      <c r="BC6" s="29" t="s">
        <v>15</v>
      </c>
      <c r="BD6" s="29" t="s">
        <v>15</v>
      </c>
      <c r="BE6" s="29" t="s">
        <v>15</v>
      </c>
      <c r="BF6" s="39" t="s">
        <v>15</v>
      </c>
      <c r="BG6" s="29" t="s">
        <v>15</v>
      </c>
      <c r="BH6" s="39" t="s">
        <v>15</v>
      </c>
      <c r="BI6" s="73" t="s">
        <v>16</v>
      </c>
      <c r="BJ6" s="60" t="s">
        <v>15</v>
      </c>
      <c r="BK6" s="75" t="s">
        <v>15</v>
      </c>
      <c r="BL6" s="75" t="s">
        <v>15</v>
      </c>
      <c r="BM6" s="75" t="s">
        <v>15</v>
      </c>
      <c r="BN6" s="75" t="s">
        <v>15</v>
      </c>
      <c r="BO6" s="75" t="s">
        <v>15</v>
      </c>
      <c r="BP6" s="75" t="s">
        <v>15</v>
      </c>
      <c r="BQ6" s="75" t="s">
        <v>15</v>
      </c>
      <c r="BR6" s="75" t="s">
        <v>15</v>
      </c>
      <c r="BS6" s="29" t="s">
        <v>16</v>
      </c>
      <c r="BT6" s="65" t="s">
        <v>15</v>
      </c>
      <c r="BU6" s="65" t="s">
        <v>15</v>
      </c>
      <c r="BV6" s="77" t="s">
        <v>16</v>
      </c>
      <c r="BW6" s="51" t="s">
        <v>16</v>
      </c>
      <c r="BX6" s="22">
        <f t="shared" si="4"/>
        <v>0.8181818182</v>
      </c>
    </row>
    <row r="7">
      <c r="A7" s="24">
        <v>3.0</v>
      </c>
      <c r="B7" s="55"/>
      <c r="C7" s="79"/>
      <c r="D7" s="59" t="s">
        <v>15</v>
      </c>
      <c r="E7" s="59" t="s">
        <v>15</v>
      </c>
      <c r="F7" s="59" t="s">
        <v>15</v>
      </c>
      <c r="G7" s="59" t="s">
        <v>15</v>
      </c>
      <c r="H7" s="59" t="s">
        <v>15</v>
      </c>
      <c r="I7" s="59" t="s">
        <v>15</v>
      </c>
      <c r="J7" s="39" t="s">
        <v>15</v>
      </c>
      <c r="K7" s="39" t="s">
        <v>15</v>
      </c>
      <c r="L7" s="59" t="s">
        <v>15</v>
      </c>
      <c r="M7" s="59" t="s">
        <v>15</v>
      </c>
      <c r="N7" s="59" t="s">
        <v>15</v>
      </c>
      <c r="O7" s="70" t="s">
        <v>16</v>
      </c>
      <c r="P7" s="61" t="s">
        <v>15</v>
      </c>
      <c r="Q7" s="59" t="s">
        <v>15</v>
      </c>
      <c r="R7" s="61" t="s">
        <v>15</v>
      </c>
      <c r="S7" s="59" t="s">
        <v>15</v>
      </c>
      <c r="T7" s="59" t="s">
        <v>15</v>
      </c>
      <c r="U7" s="39" t="s">
        <v>15</v>
      </c>
      <c r="V7" s="59" t="s">
        <v>15</v>
      </c>
      <c r="W7" s="59" t="s">
        <v>15</v>
      </c>
      <c r="X7" s="34">
        <f t="shared" si="1"/>
        <v>0.95</v>
      </c>
      <c r="Y7" s="59" t="s">
        <v>15</v>
      </c>
      <c r="Z7" s="59" t="s">
        <v>15</v>
      </c>
      <c r="AA7" s="70" t="s">
        <v>16</v>
      </c>
      <c r="AB7" s="39" t="s">
        <v>15</v>
      </c>
      <c r="AC7" s="66" t="s">
        <v>15</v>
      </c>
      <c r="AD7" s="39" t="s">
        <v>15</v>
      </c>
      <c r="AE7" s="39" t="s">
        <v>15</v>
      </c>
      <c r="AF7" s="39" t="s">
        <v>15</v>
      </c>
      <c r="AG7" s="29" t="s">
        <v>16</v>
      </c>
      <c r="AH7" s="70" t="s">
        <v>16</v>
      </c>
      <c r="AI7" s="39" t="s">
        <v>15</v>
      </c>
      <c r="AJ7" s="29" t="s">
        <v>16</v>
      </c>
      <c r="AK7" s="70" t="s">
        <v>16</v>
      </c>
      <c r="AL7" s="39" t="s">
        <v>15</v>
      </c>
      <c r="AM7" s="39" t="s">
        <v>15</v>
      </c>
      <c r="AN7" s="39" t="s">
        <v>15</v>
      </c>
      <c r="AO7" s="39" t="s">
        <v>15</v>
      </c>
      <c r="AP7" s="39" t="s">
        <v>15</v>
      </c>
      <c r="AQ7" s="29" t="s">
        <v>15</v>
      </c>
      <c r="AR7" s="39" t="s">
        <v>15</v>
      </c>
      <c r="AS7" s="34">
        <f t="shared" si="2"/>
        <v>0.75</v>
      </c>
      <c r="AT7" s="39" t="s">
        <v>15</v>
      </c>
      <c r="AU7" s="29" t="s">
        <v>15</v>
      </c>
      <c r="AV7" s="29" t="s">
        <v>15</v>
      </c>
      <c r="AW7" s="29" t="s">
        <v>15</v>
      </c>
      <c r="AX7" s="39" t="s">
        <v>15</v>
      </c>
      <c r="AY7" s="39" t="s">
        <v>15</v>
      </c>
      <c r="AZ7" s="39" t="s">
        <v>15</v>
      </c>
      <c r="BA7" s="34">
        <f t="shared" si="3"/>
        <v>1</v>
      </c>
      <c r="BB7" s="29" t="s">
        <v>15</v>
      </c>
      <c r="BC7" s="29" t="s">
        <v>15</v>
      </c>
      <c r="BD7" s="29" t="s">
        <v>15</v>
      </c>
      <c r="BE7" s="29" t="s">
        <v>15</v>
      </c>
      <c r="BF7" s="39" t="s">
        <v>15</v>
      </c>
      <c r="BG7" s="29" t="s">
        <v>15</v>
      </c>
      <c r="BH7" s="39" t="s">
        <v>15</v>
      </c>
      <c r="BI7" s="39" t="s">
        <v>15</v>
      </c>
      <c r="BJ7" s="65" t="s">
        <v>15</v>
      </c>
      <c r="BK7" s="73" t="s">
        <v>16</v>
      </c>
      <c r="BL7" s="75" t="s">
        <v>15</v>
      </c>
      <c r="BM7" s="75" t="s">
        <v>15</v>
      </c>
      <c r="BN7" s="75" t="s">
        <v>15</v>
      </c>
      <c r="BO7" s="75" t="s">
        <v>15</v>
      </c>
      <c r="BP7" s="75" t="s">
        <v>15</v>
      </c>
      <c r="BQ7" s="75" t="s">
        <v>15</v>
      </c>
      <c r="BR7" s="75" t="s">
        <v>15</v>
      </c>
      <c r="BS7" s="29" t="s">
        <v>15</v>
      </c>
      <c r="BT7" s="65" t="s">
        <v>15</v>
      </c>
      <c r="BU7" s="65" t="s">
        <v>15</v>
      </c>
      <c r="BV7" s="65" t="s">
        <v>15</v>
      </c>
      <c r="BW7" s="65" t="s">
        <v>15</v>
      </c>
      <c r="BX7" s="22">
        <f t="shared" si="4"/>
        <v>0.9545454545</v>
      </c>
    </row>
    <row r="8">
      <c r="A8" s="24">
        <v>4.0</v>
      </c>
      <c r="B8" s="62"/>
      <c r="C8" s="79"/>
      <c r="D8" s="59" t="s">
        <v>15</v>
      </c>
      <c r="E8" s="59" t="s">
        <v>15</v>
      </c>
      <c r="F8" s="59" t="s">
        <v>15</v>
      </c>
      <c r="G8" s="59" t="s">
        <v>15</v>
      </c>
      <c r="H8" s="59" t="s">
        <v>15</v>
      </c>
      <c r="I8" s="59" t="s">
        <v>15</v>
      </c>
      <c r="J8" s="39" t="s">
        <v>15</v>
      </c>
      <c r="K8" s="39" t="s">
        <v>15</v>
      </c>
      <c r="L8" s="59" t="s">
        <v>15</v>
      </c>
      <c r="M8" s="59" t="s">
        <v>15</v>
      </c>
      <c r="N8" s="59" t="s">
        <v>15</v>
      </c>
      <c r="O8" s="61" t="s">
        <v>15</v>
      </c>
      <c r="P8" s="61" t="s">
        <v>15</v>
      </c>
      <c r="Q8" s="59" t="s">
        <v>15</v>
      </c>
      <c r="R8" s="61" t="s">
        <v>15</v>
      </c>
      <c r="S8" s="59" t="s">
        <v>16</v>
      </c>
      <c r="T8" s="59" t="s">
        <v>15</v>
      </c>
      <c r="U8" s="39" t="s">
        <v>15</v>
      </c>
      <c r="V8" s="59" t="s">
        <v>16</v>
      </c>
      <c r="W8" s="59" t="s">
        <v>16</v>
      </c>
      <c r="X8" s="34">
        <f t="shared" si="1"/>
        <v>0.85</v>
      </c>
      <c r="Y8" s="59" t="s">
        <v>15</v>
      </c>
      <c r="Z8" s="59" t="s">
        <v>15</v>
      </c>
      <c r="AA8" s="39" t="s">
        <v>15</v>
      </c>
      <c r="AB8" s="39" t="s">
        <v>15</v>
      </c>
      <c r="AC8" s="66" t="s">
        <v>15</v>
      </c>
      <c r="AD8" s="39" t="s">
        <v>15</v>
      </c>
      <c r="AE8" s="39" t="s">
        <v>15</v>
      </c>
      <c r="AF8" s="70" t="s">
        <v>16</v>
      </c>
      <c r="AG8" s="29" t="s">
        <v>15</v>
      </c>
      <c r="AH8" s="39" t="s">
        <v>15</v>
      </c>
      <c r="AI8" s="39" t="s">
        <v>15</v>
      </c>
      <c r="AJ8" s="29" t="s">
        <v>15</v>
      </c>
      <c r="AK8" s="39" t="s">
        <v>15</v>
      </c>
      <c r="AL8" s="39" t="s">
        <v>15</v>
      </c>
      <c r="AM8" s="39" t="s">
        <v>15</v>
      </c>
      <c r="AN8" s="39" t="s">
        <v>15</v>
      </c>
      <c r="AO8" s="39" t="s">
        <v>15</v>
      </c>
      <c r="AP8" s="39" t="s">
        <v>15</v>
      </c>
      <c r="AQ8" s="29" t="s">
        <v>16</v>
      </c>
      <c r="AR8" s="39" t="s">
        <v>15</v>
      </c>
      <c r="AS8" s="34">
        <f t="shared" si="2"/>
        <v>0.9</v>
      </c>
      <c r="AT8" s="39" t="s">
        <v>15</v>
      </c>
      <c r="AU8" s="29" t="s">
        <v>15</v>
      </c>
      <c r="AV8" s="29" t="s">
        <v>15</v>
      </c>
      <c r="AW8" s="29" t="s">
        <v>15</v>
      </c>
      <c r="AX8" s="39" t="s">
        <v>15</v>
      </c>
      <c r="AY8" s="39" t="s">
        <v>15</v>
      </c>
      <c r="AZ8" s="39" t="s">
        <v>15</v>
      </c>
      <c r="BA8" s="34">
        <f t="shared" si="3"/>
        <v>1</v>
      </c>
      <c r="BB8" s="29" t="s">
        <v>15</v>
      </c>
      <c r="BC8" s="29" t="s">
        <v>15</v>
      </c>
      <c r="BD8" s="29" t="s">
        <v>15</v>
      </c>
      <c r="BE8" s="29" t="s">
        <v>15</v>
      </c>
      <c r="BF8" s="39" t="s">
        <v>15</v>
      </c>
      <c r="BG8" s="29" t="s">
        <v>15</v>
      </c>
      <c r="BH8" s="39" t="s">
        <v>15</v>
      </c>
      <c r="BI8" s="39" t="s">
        <v>15</v>
      </c>
      <c r="BJ8" s="65" t="s">
        <v>15</v>
      </c>
      <c r="BK8" s="75" t="s">
        <v>15</v>
      </c>
      <c r="BL8" s="75" t="s">
        <v>15</v>
      </c>
      <c r="BM8" s="75" t="s">
        <v>15</v>
      </c>
      <c r="BN8" s="75" t="s">
        <v>15</v>
      </c>
      <c r="BO8" s="75" t="s">
        <v>15</v>
      </c>
      <c r="BP8" s="75" t="s">
        <v>15</v>
      </c>
      <c r="BQ8" s="75" t="s">
        <v>15</v>
      </c>
      <c r="BR8" s="75" t="s">
        <v>15</v>
      </c>
      <c r="BS8" s="29" t="s">
        <v>15</v>
      </c>
      <c r="BT8" s="65" t="s">
        <v>15</v>
      </c>
      <c r="BU8" s="65" t="s">
        <v>15</v>
      </c>
      <c r="BV8" s="65" t="s">
        <v>15</v>
      </c>
      <c r="BW8" s="51" t="s">
        <v>16</v>
      </c>
      <c r="BX8" s="22">
        <f t="shared" si="4"/>
        <v>0.9545454545</v>
      </c>
    </row>
    <row r="9">
      <c r="A9" s="24">
        <v>5.0</v>
      </c>
      <c r="B9" s="55"/>
      <c r="C9" s="79"/>
      <c r="D9" s="59" t="s">
        <v>15</v>
      </c>
      <c r="E9" s="59" t="s">
        <v>15</v>
      </c>
      <c r="F9" s="59" t="s">
        <v>15</v>
      </c>
      <c r="G9" s="59" t="s">
        <v>15</v>
      </c>
      <c r="H9" s="59" t="s">
        <v>15</v>
      </c>
      <c r="I9" s="59" t="s">
        <v>16</v>
      </c>
      <c r="J9" s="39" t="s">
        <v>15</v>
      </c>
      <c r="K9" s="70" t="s">
        <v>16</v>
      </c>
      <c r="L9" s="59" t="s">
        <v>15</v>
      </c>
      <c r="M9" s="59" t="s">
        <v>15</v>
      </c>
      <c r="N9" s="59" t="s">
        <v>15</v>
      </c>
      <c r="O9" s="61" t="s">
        <v>15</v>
      </c>
      <c r="P9" s="61" t="s">
        <v>15</v>
      </c>
      <c r="Q9" s="59" t="s">
        <v>15</v>
      </c>
      <c r="R9" s="61" t="s">
        <v>15</v>
      </c>
      <c r="S9" s="59" t="s">
        <v>15</v>
      </c>
      <c r="T9" s="59" t="s">
        <v>15</v>
      </c>
      <c r="U9" s="70" t="s">
        <v>16</v>
      </c>
      <c r="V9" s="59" t="s">
        <v>15</v>
      </c>
      <c r="W9" s="59" t="s">
        <v>16</v>
      </c>
      <c r="X9" s="34">
        <f t="shared" si="1"/>
        <v>0.8</v>
      </c>
      <c r="Y9" s="59" t="s">
        <v>15</v>
      </c>
      <c r="Z9" s="59" t="s">
        <v>15</v>
      </c>
      <c r="AA9" s="39" t="s">
        <v>15</v>
      </c>
      <c r="AB9" s="39" t="s">
        <v>15</v>
      </c>
      <c r="AC9" s="66" t="s">
        <v>15</v>
      </c>
      <c r="AD9" s="39" t="s">
        <v>15</v>
      </c>
      <c r="AE9" s="70" t="s">
        <v>16</v>
      </c>
      <c r="AF9" s="39" t="s">
        <v>15</v>
      </c>
      <c r="AG9" s="29" t="s">
        <v>15</v>
      </c>
      <c r="AH9" s="39" t="s">
        <v>15</v>
      </c>
      <c r="AI9" s="39" t="s">
        <v>15</v>
      </c>
      <c r="AJ9" s="29" t="s">
        <v>15</v>
      </c>
      <c r="AK9" s="70" t="s">
        <v>16</v>
      </c>
      <c r="AL9" s="39" t="s">
        <v>15</v>
      </c>
      <c r="AM9" s="39" t="s">
        <v>15</v>
      </c>
      <c r="AN9" s="70" t="s">
        <v>16</v>
      </c>
      <c r="AO9" s="29" t="s">
        <v>16</v>
      </c>
      <c r="AP9" s="39" t="s">
        <v>15</v>
      </c>
      <c r="AQ9" s="29" t="s">
        <v>15</v>
      </c>
      <c r="AR9" s="39" t="s">
        <v>15</v>
      </c>
      <c r="AS9" s="34">
        <f t="shared" si="2"/>
        <v>0.8</v>
      </c>
      <c r="AT9" s="39" t="s">
        <v>15</v>
      </c>
      <c r="AU9" s="29" t="s">
        <v>15</v>
      </c>
      <c r="AV9" s="29" t="s">
        <v>15</v>
      </c>
      <c r="AW9" s="29" t="s">
        <v>15</v>
      </c>
      <c r="AX9" s="39" t="s">
        <v>15</v>
      </c>
      <c r="AY9" s="39" t="s">
        <v>15</v>
      </c>
      <c r="AZ9" s="66" t="s">
        <v>16</v>
      </c>
      <c r="BA9" s="34">
        <f t="shared" si="3"/>
        <v>0.8571428571</v>
      </c>
      <c r="BB9" s="29" t="s">
        <v>15</v>
      </c>
      <c r="BC9" s="29" t="s">
        <v>15</v>
      </c>
      <c r="BD9" s="29" t="s">
        <v>15</v>
      </c>
      <c r="BE9" s="29" t="s">
        <v>15</v>
      </c>
      <c r="BF9" s="39" t="s">
        <v>15</v>
      </c>
      <c r="BG9" s="29" t="s">
        <v>15</v>
      </c>
      <c r="BH9" s="70" t="s">
        <v>16</v>
      </c>
      <c r="BI9" s="39" t="s">
        <v>15</v>
      </c>
      <c r="BJ9" s="65" t="s">
        <v>15</v>
      </c>
      <c r="BK9" s="75" t="s">
        <v>15</v>
      </c>
      <c r="BL9" s="75" t="s">
        <v>15</v>
      </c>
      <c r="BM9" s="73" t="s">
        <v>16</v>
      </c>
      <c r="BN9" s="75" t="s">
        <v>15</v>
      </c>
      <c r="BO9" s="75" t="s">
        <v>15</v>
      </c>
      <c r="BP9" s="75" t="s">
        <v>15</v>
      </c>
      <c r="BQ9" s="75" t="s">
        <v>15</v>
      </c>
      <c r="BR9" s="75" t="s">
        <v>15</v>
      </c>
      <c r="BS9" s="29" t="s">
        <v>15</v>
      </c>
      <c r="BT9" s="65" t="s">
        <v>15</v>
      </c>
      <c r="BU9" s="65" t="s">
        <v>15</v>
      </c>
      <c r="BV9" s="65" t="s">
        <v>15</v>
      </c>
      <c r="BW9" s="51" t="s">
        <v>16</v>
      </c>
      <c r="BX9" s="22">
        <f t="shared" si="4"/>
        <v>0.8636363636</v>
      </c>
    </row>
    <row r="10">
      <c r="A10" s="16">
        <v>6.0</v>
      </c>
      <c r="B10" s="55"/>
      <c r="C10" s="56"/>
      <c r="D10" s="59" t="s">
        <v>15</v>
      </c>
      <c r="E10" s="59" t="s">
        <v>15</v>
      </c>
      <c r="F10" s="59" t="s">
        <v>16</v>
      </c>
      <c r="G10" s="59" t="s">
        <v>15</v>
      </c>
      <c r="H10" s="59" t="s">
        <v>15</v>
      </c>
      <c r="I10" s="59" t="s">
        <v>16</v>
      </c>
      <c r="J10" s="39" t="s">
        <v>15</v>
      </c>
      <c r="K10" s="39" t="s">
        <v>15</v>
      </c>
      <c r="L10" s="59" t="s">
        <v>15</v>
      </c>
      <c r="M10" s="59" t="s">
        <v>15</v>
      </c>
      <c r="N10" s="59" t="s">
        <v>15</v>
      </c>
      <c r="O10" s="61" t="s">
        <v>15</v>
      </c>
      <c r="P10" s="61" t="s">
        <v>15</v>
      </c>
      <c r="Q10" s="59" t="s">
        <v>15</v>
      </c>
      <c r="R10" s="61" t="s">
        <v>15</v>
      </c>
      <c r="S10" s="59" t="s">
        <v>15</v>
      </c>
      <c r="T10" s="59" t="s">
        <v>15</v>
      </c>
      <c r="U10" s="70" t="s">
        <v>16</v>
      </c>
      <c r="V10" s="59" t="s">
        <v>15</v>
      </c>
      <c r="W10" s="59" t="s">
        <v>15</v>
      </c>
      <c r="X10" s="34">
        <f t="shared" si="1"/>
        <v>0.85</v>
      </c>
      <c r="Y10" s="59" t="s">
        <v>15</v>
      </c>
      <c r="Z10" s="59" t="s">
        <v>15</v>
      </c>
      <c r="AA10" s="39" t="s">
        <v>15</v>
      </c>
      <c r="AB10" s="39" t="s">
        <v>15</v>
      </c>
      <c r="AC10" s="66" t="s">
        <v>15</v>
      </c>
      <c r="AD10" s="39" t="s">
        <v>15</v>
      </c>
      <c r="AE10" s="70" t="s">
        <v>16</v>
      </c>
      <c r="AF10" s="39" t="s">
        <v>15</v>
      </c>
      <c r="AG10" s="29" t="s">
        <v>15</v>
      </c>
      <c r="AH10" s="70" t="s">
        <v>16</v>
      </c>
      <c r="AI10" s="70" t="s">
        <v>16</v>
      </c>
      <c r="AJ10" s="29" t="s">
        <v>15</v>
      </c>
      <c r="AK10" s="70" t="s">
        <v>16</v>
      </c>
      <c r="AL10" s="39" t="s">
        <v>15</v>
      </c>
      <c r="AM10" s="39" t="s">
        <v>15</v>
      </c>
      <c r="AN10" s="39" t="s">
        <v>15</v>
      </c>
      <c r="AO10" s="39" t="s">
        <v>15</v>
      </c>
      <c r="AP10" s="39" t="s">
        <v>15</v>
      </c>
      <c r="AQ10" s="29" t="s">
        <v>16</v>
      </c>
      <c r="AR10" s="39" t="s">
        <v>15</v>
      </c>
      <c r="AS10" s="34">
        <f t="shared" si="2"/>
        <v>0.75</v>
      </c>
      <c r="AT10" s="39" t="s">
        <v>15</v>
      </c>
      <c r="AU10" s="29" t="s">
        <v>15</v>
      </c>
      <c r="AV10" s="29" t="s">
        <v>15</v>
      </c>
      <c r="AW10" s="29" t="s">
        <v>16</v>
      </c>
      <c r="AX10" s="70" t="s">
        <v>16</v>
      </c>
      <c r="AY10" s="39" t="s">
        <v>15</v>
      </c>
      <c r="AZ10" s="66" t="s">
        <v>16</v>
      </c>
      <c r="BA10" s="34">
        <f t="shared" si="3"/>
        <v>0.5714285714</v>
      </c>
      <c r="BB10" s="32" t="s">
        <v>16</v>
      </c>
      <c r="BC10" s="32" t="s">
        <v>16</v>
      </c>
      <c r="BD10" s="32" t="s">
        <v>16</v>
      </c>
      <c r="BE10" s="29" t="s">
        <v>16</v>
      </c>
      <c r="BF10" s="39" t="s">
        <v>15</v>
      </c>
      <c r="BG10" s="32" t="s">
        <v>16</v>
      </c>
      <c r="BH10" s="70" t="s">
        <v>16</v>
      </c>
      <c r="BI10" s="73" t="s">
        <v>16</v>
      </c>
      <c r="BJ10" s="51" t="s">
        <v>16</v>
      </c>
      <c r="BK10" s="73" t="s">
        <v>16</v>
      </c>
      <c r="BL10" s="73" t="s">
        <v>16</v>
      </c>
      <c r="BM10" s="75" t="s">
        <v>15</v>
      </c>
      <c r="BN10" s="75" t="s">
        <v>15</v>
      </c>
      <c r="BO10" s="75" t="s">
        <v>15</v>
      </c>
      <c r="BP10" s="75" t="s">
        <v>15</v>
      </c>
      <c r="BQ10" s="75" t="s">
        <v>15</v>
      </c>
      <c r="BR10" s="75" t="s">
        <v>15</v>
      </c>
      <c r="BS10" s="29" t="s">
        <v>16</v>
      </c>
      <c r="BT10" s="65" t="s">
        <v>15</v>
      </c>
      <c r="BU10" s="65" t="s">
        <v>15</v>
      </c>
      <c r="BV10" s="65" t="s">
        <v>15</v>
      </c>
      <c r="BW10" s="65" t="s">
        <v>15</v>
      </c>
      <c r="BX10" s="22">
        <f t="shared" si="4"/>
        <v>0.5</v>
      </c>
    </row>
    <row r="11">
      <c r="A11" s="24">
        <v>7.0</v>
      </c>
      <c r="B11" s="92"/>
      <c r="C11" s="88" t="s">
        <v>19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 t="s">
        <v>18</v>
      </c>
      <c r="V11" s="32"/>
      <c r="W11" s="32"/>
      <c r="X11" s="40" t="str">
        <f t="shared" si="1"/>
        <v>0,00%</v>
      </c>
      <c r="Y11" s="32"/>
      <c r="Z11" s="32"/>
      <c r="AA11" s="42" t="s">
        <v>18</v>
      </c>
      <c r="AB11" s="42" t="s">
        <v>18</v>
      </c>
      <c r="AC11" s="32"/>
      <c r="AD11" s="42" t="s">
        <v>18</v>
      </c>
      <c r="AE11" s="32"/>
      <c r="AF11" s="42" t="s">
        <v>18</v>
      </c>
      <c r="AG11" s="32"/>
      <c r="AH11" s="32"/>
      <c r="AI11" s="42" t="s">
        <v>18</v>
      </c>
      <c r="AJ11" s="32"/>
      <c r="AK11" s="42" t="s">
        <v>18</v>
      </c>
      <c r="AL11" s="32"/>
      <c r="AM11" s="32"/>
      <c r="AN11" s="42" t="s">
        <v>18</v>
      </c>
      <c r="AO11" s="32"/>
      <c r="AP11" s="42" t="s">
        <v>18</v>
      </c>
      <c r="AQ11" s="32"/>
      <c r="AR11" s="42" t="s">
        <v>18</v>
      </c>
      <c r="AS11" s="40" t="str">
        <f t="shared" si="2"/>
        <v>0,00%</v>
      </c>
      <c r="AT11" s="42" t="s">
        <v>18</v>
      </c>
      <c r="AU11" s="32"/>
      <c r="AV11" s="32"/>
      <c r="AW11" s="32"/>
      <c r="AX11" s="42" t="s">
        <v>18</v>
      </c>
      <c r="AY11" s="32"/>
      <c r="AZ11" s="32"/>
      <c r="BA11" s="40" t="str">
        <f t="shared" si="3"/>
        <v>0,00%</v>
      </c>
      <c r="BB11" s="32"/>
      <c r="BC11" s="32"/>
      <c r="BD11" s="32"/>
      <c r="BE11" s="32"/>
      <c r="BF11" s="42" t="s">
        <v>18</v>
      </c>
      <c r="BG11" s="32"/>
      <c r="BH11" s="42" t="s">
        <v>18</v>
      </c>
      <c r="BI11" s="42" t="s">
        <v>18</v>
      </c>
      <c r="BJ11" s="74" t="s">
        <v>18</v>
      </c>
      <c r="BK11" s="42" t="s">
        <v>18</v>
      </c>
      <c r="BL11" s="42" t="s">
        <v>18</v>
      </c>
      <c r="BM11" s="42" t="s">
        <v>18</v>
      </c>
      <c r="BN11" s="42" t="s">
        <v>18</v>
      </c>
      <c r="BO11" s="32"/>
      <c r="BP11" s="74" t="s">
        <v>18</v>
      </c>
      <c r="BQ11" s="32"/>
      <c r="BR11" s="49" t="s">
        <v>18</v>
      </c>
      <c r="BS11" s="32"/>
      <c r="BT11" s="32"/>
      <c r="BU11" s="74" t="s">
        <v>18</v>
      </c>
      <c r="BV11" s="74" t="s">
        <v>18</v>
      </c>
      <c r="BW11" s="32"/>
      <c r="BX11" s="48" t="str">
        <f t="shared" si="4"/>
        <v>0,00%</v>
      </c>
    </row>
    <row r="12">
      <c r="A12" s="24">
        <v>8.0</v>
      </c>
      <c r="B12" s="55"/>
      <c r="C12" s="79"/>
      <c r="D12" s="59" t="s">
        <v>15</v>
      </c>
      <c r="E12" s="59" t="s">
        <v>15</v>
      </c>
      <c r="F12" s="59" t="s">
        <v>15</v>
      </c>
      <c r="G12" s="59" t="s">
        <v>15</v>
      </c>
      <c r="H12" s="59" t="s">
        <v>15</v>
      </c>
      <c r="I12" s="59" t="s">
        <v>16</v>
      </c>
      <c r="J12" s="39" t="s">
        <v>15</v>
      </c>
      <c r="K12" s="39" t="s">
        <v>15</v>
      </c>
      <c r="L12" s="59" t="s">
        <v>15</v>
      </c>
      <c r="M12" s="59" t="s">
        <v>15</v>
      </c>
      <c r="N12" s="59" t="s">
        <v>15</v>
      </c>
      <c r="O12" s="61" t="s">
        <v>15</v>
      </c>
      <c r="P12" s="61" t="s">
        <v>15</v>
      </c>
      <c r="Q12" s="59" t="s">
        <v>15</v>
      </c>
      <c r="R12" s="61" t="s">
        <v>15</v>
      </c>
      <c r="S12" s="59" t="s">
        <v>15</v>
      </c>
      <c r="T12" s="59" t="s">
        <v>15</v>
      </c>
      <c r="U12" s="39" t="s">
        <v>15</v>
      </c>
      <c r="V12" s="39" t="s">
        <v>15</v>
      </c>
      <c r="W12" s="59" t="s">
        <v>15</v>
      </c>
      <c r="X12" s="34">
        <f t="shared" si="1"/>
        <v>0.95</v>
      </c>
      <c r="Y12" s="59" t="s">
        <v>15</v>
      </c>
      <c r="Z12" s="59" t="s">
        <v>15</v>
      </c>
      <c r="AA12" s="39" t="s">
        <v>15</v>
      </c>
      <c r="AB12" s="39" t="s">
        <v>15</v>
      </c>
      <c r="AC12" s="66" t="s">
        <v>15</v>
      </c>
      <c r="AD12" s="39" t="s">
        <v>15</v>
      </c>
      <c r="AE12" s="75" t="s">
        <v>15</v>
      </c>
      <c r="AF12" s="39" t="s">
        <v>15</v>
      </c>
      <c r="AG12" s="29" t="s">
        <v>15</v>
      </c>
      <c r="AH12" s="39" t="s">
        <v>15</v>
      </c>
      <c r="AI12" s="39" t="s">
        <v>15</v>
      </c>
      <c r="AJ12" s="29" t="s">
        <v>15</v>
      </c>
      <c r="AK12" s="39" t="s">
        <v>15</v>
      </c>
      <c r="AL12" s="39" t="s">
        <v>15</v>
      </c>
      <c r="AM12" s="39" t="s">
        <v>15</v>
      </c>
      <c r="AN12" s="39" t="s">
        <v>15</v>
      </c>
      <c r="AO12" s="39" t="s">
        <v>15</v>
      </c>
      <c r="AP12" s="39" t="s">
        <v>15</v>
      </c>
      <c r="AQ12" s="29" t="s">
        <v>15</v>
      </c>
      <c r="AR12" s="39" t="s">
        <v>15</v>
      </c>
      <c r="AS12" s="34">
        <f t="shared" si="2"/>
        <v>1</v>
      </c>
      <c r="AT12" s="39" t="s">
        <v>15</v>
      </c>
      <c r="AU12" s="29" t="s">
        <v>16</v>
      </c>
      <c r="AV12" s="29" t="s">
        <v>15</v>
      </c>
      <c r="AW12" s="29" t="s">
        <v>15</v>
      </c>
      <c r="AX12" s="39" t="s">
        <v>15</v>
      </c>
      <c r="AY12" s="39" t="s">
        <v>15</v>
      </c>
      <c r="AZ12" s="39" t="s">
        <v>15</v>
      </c>
      <c r="BA12" s="34">
        <f t="shared" si="3"/>
        <v>0.8571428571</v>
      </c>
      <c r="BB12" s="42" t="s">
        <v>15</v>
      </c>
      <c r="BC12" s="42" t="s">
        <v>15</v>
      </c>
      <c r="BD12" s="42" t="s">
        <v>15</v>
      </c>
      <c r="BE12" s="29" t="s">
        <v>15</v>
      </c>
      <c r="BF12" s="39" t="s">
        <v>15</v>
      </c>
      <c r="BG12" s="29" t="s">
        <v>15</v>
      </c>
      <c r="BH12" s="39" t="s">
        <v>15</v>
      </c>
      <c r="BI12" s="39" t="s">
        <v>15</v>
      </c>
      <c r="BJ12" s="65" t="s">
        <v>15</v>
      </c>
      <c r="BK12" s="75" t="s">
        <v>15</v>
      </c>
      <c r="BL12" s="75" t="s">
        <v>15</v>
      </c>
      <c r="BM12" s="75" t="s">
        <v>15</v>
      </c>
      <c r="BN12" s="75" t="s">
        <v>15</v>
      </c>
      <c r="BO12" s="75" t="s">
        <v>15</v>
      </c>
      <c r="BP12" s="75" t="s">
        <v>15</v>
      </c>
      <c r="BQ12" s="75" t="s">
        <v>15</v>
      </c>
      <c r="BR12" s="75" t="s">
        <v>15</v>
      </c>
      <c r="BS12" s="29" t="s">
        <v>16</v>
      </c>
      <c r="BT12" s="65" t="s">
        <v>15</v>
      </c>
      <c r="BU12" s="65" t="s">
        <v>15</v>
      </c>
      <c r="BV12" s="65" t="s">
        <v>15</v>
      </c>
      <c r="BW12" s="65" t="s">
        <v>15</v>
      </c>
      <c r="BX12" s="22">
        <f t="shared" si="4"/>
        <v>0.9545454545</v>
      </c>
    </row>
    <row r="13">
      <c r="A13" s="24">
        <v>9.0</v>
      </c>
      <c r="B13" s="99"/>
      <c r="C13" s="100" t="s">
        <v>29</v>
      </c>
      <c r="D13" s="59" t="s">
        <v>16</v>
      </c>
      <c r="E13" s="59" t="s">
        <v>16</v>
      </c>
      <c r="F13" s="59" t="s">
        <v>16</v>
      </c>
      <c r="G13" s="59" t="s">
        <v>16</v>
      </c>
      <c r="H13" s="59" t="s">
        <v>16</v>
      </c>
      <c r="I13" s="59" t="s">
        <v>16</v>
      </c>
      <c r="J13" s="66" t="s">
        <v>16</v>
      </c>
      <c r="K13" s="70" t="s">
        <v>16</v>
      </c>
      <c r="L13" s="59" t="s">
        <v>16</v>
      </c>
      <c r="M13" s="70" t="s">
        <v>16</v>
      </c>
      <c r="N13" s="70" t="s">
        <v>16</v>
      </c>
      <c r="O13" s="70" t="s">
        <v>16</v>
      </c>
      <c r="P13" s="70" t="s">
        <v>16</v>
      </c>
      <c r="Q13" s="59" t="s">
        <v>16</v>
      </c>
      <c r="R13" s="70" t="s">
        <v>16</v>
      </c>
      <c r="S13" s="59" t="s">
        <v>16</v>
      </c>
      <c r="T13" s="59" t="s">
        <v>16</v>
      </c>
      <c r="U13" s="70" t="s">
        <v>16</v>
      </c>
      <c r="V13" s="59" t="s">
        <v>16</v>
      </c>
      <c r="W13" s="59" t="s">
        <v>16</v>
      </c>
      <c r="X13" s="34">
        <f t="shared" si="1"/>
        <v>0</v>
      </c>
      <c r="Y13" s="59" t="s">
        <v>16</v>
      </c>
      <c r="Z13" s="59" t="s">
        <v>16</v>
      </c>
      <c r="AA13" s="70" t="s">
        <v>16</v>
      </c>
      <c r="AB13" s="70" t="s">
        <v>16</v>
      </c>
      <c r="AC13" s="29" t="s">
        <v>16</v>
      </c>
      <c r="AD13" s="70" t="s">
        <v>16</v>
      </c>
      <c r="AE13" s="70" t="s">
        <v>16</v>
      </c>
      <c r="AF13" s="70" t="s">
        <v>16</v>
      </c>
      <c r="AG13" s="29" t="s">
        <v>16</v>
      </c>
      <c r="AH13" s="39" t="s">
        <v>15</v>
      </c>
      <c r="AI13" s="70" t="s">
        <v>16</v>
      </c>
      <c r="AJ13" s="102" t="s">
        <v>20</v>
      </c>
      <c r="AK13" s="102" t="s">
        <v>20</v>
      </c>
      <c r="AL13" s="102" t="s">
        <v>20</v>
      </c>
      <c r="AM13" s="102" t="s">
        <v>20</v>
      </c>
      <c r="AN13" s="102" t="s">
        <v>20</v>
      </c>
      <c r="AO13" s="102" t="s">
        <v>20</v>
      </c>
      <c r="AP13" s="102" t="s">
        <v>20</v>
      </c>
      <c r="AQ13" s="102" t="s">
        <v>20</v>
      </c>
      <c r="AR13" s="102" t="s">
        <v>20</v>
      </c>
      <c r="AS13" s="34">
        <f t="shared" si="2"/>
        <v>0.09090909091</v>
      </c>
      <c r="AT13" s="42" t="s">
        <v>18</v>
      </c>
      <c r="AU13" s="42" t="s">
        <v>18</v>
      </c>
      <c r="AV13" s="42" t="s">
        <v>18</v>
      </c>
      <c r="AW13" s="42" t="s">
        <v>18</v>
      </c>
      <c r="AX13" s="42" t="s">
        <v>18</v>
      </c>
      <c r="AY13" s="42" t="s">
        <v>18</v>
      </c>
      <c r="AZ13" s="42" t="s">
        <v>18</v>
      </c>
      <c r="BA13" s="34" t="str">
        <f t="shared" si="3"/>
        <v>0,00%</v>
      </c>
      <c r="BB13" s="32"/>
      <c r="BC13" s="32"/>
      <c r="BD13" s="32"/>
      <c r="BE13" s="42" t="s">
        <v>18</v>
      </c>
      <c r="BF13" s="42" t="s">
        <v>18</v>
      </c>
      <c r="BG13" s="42" t="s">
        <v>18</v>
      </c>
      <c r="BH13" s="42" t="s">
        <v>18</v>
      </c>
      <c r="BI13" s="42" t="s">
        <v>18</v>
      </c>
      <c r="BJ13" s="74" t="s">
        <v>18</v>
      </c>
      <c r="BK13" s="42" t="s">
        <v>18</v>
      </c>
      <c r="BL13" s="42" t="s">
        <v>18</v>
      </c>
      <c r="BM13" s="42" t="s">
        <v>18</v>
      </c>
      <c r="BN13" s="42" t="s">
        <v>18</v>
      </c>
      <c r="BO13" s="42" t="s">
        <v>18</v>
      </c>
      <c r="BP13" s="74" t="s">
        <v>18</v>
      </c>
      <c r="BQ13" s="42" t="s">
        <v>18</v>
      </c>
      <c r="BR13" s="49" t="s">
        <v>18</v>
      </c>
      <c r="BS13" s="42" t="s">
        <v>18</v>
      </c>
      <c r="BT13" s="42" t="s">
        <v>18</v>
      </c>
      <c r="BU13" s="74" t="s">
        <v>18</v>
      </c>
      <c r="BV13" s="74" t="s">
        <v>18</v>
      </c>
      <c r="BW13" s="42" t="s">
        <v>18</v>
      </c>
      <c r="BX13" s="22" t="str">
        <f t="shared" si="4"/>
        <v>0,00%</v>
      </c>
    </row>
    <row r="14">
      <c r="A14" s="24">
        <v>10.0</v>
      </c>
      <c r="B14" s="55"/>
      <c r="C14" s="88" t="s">
        <v>32</v>
      </c>
      <c r="D14" s="59" t="s">
        <v>15</v>
      </c>
      <c r="E14" s="59" t="s">
        <v>15</v>
      </c>
      <c r="F14" s="59" t="s">
        <v>15</v>
      </c>
      <c r="G14" s="59" t="s">
        <v>15</v>
      </c>
      <c r="H14" s="59" t="s">
        <v>15</v>
      </c>
      <c r="I14" s="59" t="s">
        <v>15</v>
      </c>
      <c r="J14" s="39" t="s">
        <v>15</v>
      </c>
      <c r="K14" s="39" t="s">
        <v>15</v>
      </c>
      <c r="L14" s="59" t="s">
        <v>15</v>
      </c>
      <c r="M14" s="59" t="s">
        <v>15</v>
      </c>
      <c r="N14" s="59" t="s">
        <v>15</v>
      </c>
      <c r="O14" s="61" t="s">
        <v>15</v>
      </c>
      <c r="P14" s="61" t="s">
        <v>15</v>
      </c>
      <c r="Q14" s="59" t="s">
        <v>15</v>
      </c>
      <c r="R14" s="61" t="s">
        <v>15</v>
      </c>
      <c r="S14" s="59" t="s">
        <v>16</v>
      </c>
      <c r="T14" s="59" t="s">
        <v>16</v>
      </c>
      <c r="U14" s="39" t="s">
        <v>15</v>
      </c>
      <c r="V14" s="59" t="s">
        <v>15</v>
      </c>
      <c r="W14" s="59" t="s">
        <v>15</v>
      </c>
      <c r="X14" s="34">
        <f t="shared" si="1"/>
        <v>0.9</v>
      </c>
      <c r="Y14" s="59" t="s">
        <v>15</v>
      </c>
      <c r="Z14" s="59" t="s">
        <v>15</v>
      </c>
      <c r="AA14" s="39" t="s">
        <v>15</v>
      </c>
      <c r="AB14" s="39" t="s">
        <v>15</v>
      </c>
      <c r="AC14" s="29" t="s">
        <v>16</v>
      </c>
      <c r="AD14" s="39" t="s">
        <v>15</v>
      </c>
      <c r="AE14" s="70" t="s">
        <v>16</v>
      </c>
      <c r="AF14" s="70" t="s">
        <v>16</v>
      </c>
      <c r="AG14" s="29" t="s">
        <v>15</v>
      </c>
      <c r="AH14" s="39" t="s">
        <v>15</v>
      </c>
      <c r="AI14" s="39" t="s">
        <v>15</v>
      </c>
      <c r="AJ14" s="29" t="s">
        <v>16</v>
      </c>
      <c r="AK14" s="39" t="s">
        <v>15</v>
      </c>
      <c r="AL14" s="39" t="s">
        <v>15</v>
      </c>
      <c r="AM14" s="39" t="s">
        <v>15</v>
      </c>
      <c r="AN14" s="39" t="s">
        <v>15</v>
      </c>
      <c r="AO14" s="39" t="s">
        <v>15</v>
      </c>
      <c r="AP14" s="39" t="s">
        <v>15</v>
      </c>
      <c r="AQ14" s="29" t="s">
        <v>15</v>
      </c>
      <c r="AR14" s="39" t="s">
        <v>15</v>
      </c>
      <c r="AS14" s="34">
        <f t="shared" si="2"/>
        <v>0.8</v>
      </c>
      <c r="AT14" s="39" t="s">
        <v>15</v>
      </c>
      <c r="AU14" s="29" t="s">
        <v>15</v>
      </c>
      <c r="AV14" s="29" t="s">
        <v>15</v>
      </c>
      <c r="AW14" s="29" t="s">
        <v>15</v>
      </c>
      <c r="AX14" s="39" t="s">
        <v>15</v>
      </c>
      <c r="AY14" s="39" t="s">
        <v>15</v>
      </c>
      <c r="AZ14" s="39" t="s">
        <v>15</v>
      </c>
      <c r="BA14" s="34">
        <f t="shared" si="3"/>
        <v>1</v>
      </c>
      <c r="BB14" s="32" t="s">
        <v>15</v>
      </c>
      <c r="BC14" s="32" t="s">
        <v>15</v>
      </c>
      <c r="BD14" s="32" t="s">
        <v>15</v>
      </c>
      <c r="BE14" s="29" t="s">
        <v>15</v>
      </c>
      <c r="BF14" s="39" t="s">
        <v>15</v>
      </c>
      <c r="BG14" s="32" t="s">
        <v>16</v>
      </c>
      <c r="BH14" s="70" t="s">
        <v>16</v>
      </c>
      <c r="BI14" s="73" t="s">
        <v>16</v>
      </c>
      <c r="BJ14" s="65" t="s">
        <v>15</v>
      </c>
      <c r="BK14" s="75" t="s">
        <v>15</v>
      </c>
      <c r="BL14" s="75" t="s">
        <v>15</v>
      </c>
      <c r="BM14" s="75" t="s">
        <v>15</v>
      </c>
      <c r="BN14" s="75" t="s">
        <v>15</v>
      </c>
      <c r="BO14" s="75" t="s">
        <v>15</v>
      </c>
      <c r="BP14" s="75" t="s">
        <v>15</v>
      </c>
      <c r="BQ14" s="75" t="s">
        <v>15</v>
      </c>
      <c r="BR14" s="75" t="s">
        <v>15</v>
      </c>
      <c r="BS14" s="29" t="s">
        <v>15</v>
      </c>
      <c r="BT14" s="65" t="s">
        <v>15</v>
      </c>
      <c r="BU14" s="65" t="s">
        <v>15</v>
      </c>
      <c r="BV14" s="65" t="s">
        <v>15</v>
      </c>
      <c r="BW14" s="65" t="s">
        <v>15</v>
      </c>
      <c r="BX14" s="22">
        <f t="shared" si="4"/>
        <v>0.8636363636</v>
      </c>
    </row>
    <row r="15">
      <c r="A15" s="24">
        <v>11.0</v>
      </c>
      <c r="B15" s="30"/>
      <c r="C15" s="100" t="s">
        <v>17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 t="s">
        <v>18</v>
      </c>
      <c r="V15" s="32"/>
      <c r="W15" s="32"/>
      <c r="X15" s="40" t="str">
        <f t="shared" si="1"/>
        <v>0,00%</v>
      </c>
      <c r="Y15" s="32"/>
      <c r="Z15" s="32"/>
      <c r="AA15" s="42" t="s">
        <v>18</v>
      </c>
      <c r="AB15" s="42" t="s">
        <v>18</v>
      </c>
      <c r="AC15" s="32"/>
      <c r="AD15" s="42" t="s">
        <v>18</v>
      </c>
      <c r="AE15" s="32"/>
      <c r="AF15" s="42" t="s">
        <v>18</v>
      </c>
      <c r="AG15" s="32"/>
      <c r="AH15" s="32"/>
      <c r="AI15" s="42" t="s">
        <v>18</v>
      </c>
      <c r="AJ15" s="32"/>
      <c r="AK15" s="42" t="s">
        <v>18</v>
      </c>
      <c r="AL15" s="32"/>
      <c r="AM15" s="32"/>
      <c r="AN15" s="42" t="s">
        <v>18</v>
      </c>
      <c r="AO15" s="32"/>
      <c r="AP15" s="42" t="s">
        <v>18</v>
      </c>
      <c r="AQ15" s="32"/>
      <c r="AR15" s="42" t="s">
        <v>18</v>
      </c>
      <c r="AS15" s="40" t="str">
        <f t="shared" si="2"/>
        <v>0,00%</v>
      </c>
      <c r="AT15" s="42" t="s">
        <v>18</v>
      </c>
      <c r="AU15" s="32"/>
      <c r="AV15" s="32"/>
      <c r="AW15" s="32"/>
      <c r="AX15" s="42" t="s">
        <v>18</v>
      </c>
      <c r="AY15" s="32"/>
      <c r="AZ15" s="32"/>
      <c r="BA15" s="40" t="str">
        <f t="shared" si="3"/>
        <v>0,00%</v>
      </c>
      <c r="BB15" s="32"/>
      <c r="BC15" s="32"/>
      <c r="BD15" s="32"/>
      <c r="BE15" s="32"/>
      <c r="BF15" s="42" t="s">
        <v>18</v>
      </c>
      <c r="BG15" s="32"/>
      <c r="BH15" s="42" t="s">
        <v>18</v>
      </c>
      <c r="BI15" s="42" t="s">
        <v>18</v>
      </c>
      <c r="BJ15" s="74" t="s">
        <v>18</v>
      </c>
      <c r="BK15" s="42" t="s">
        <v>18</v>
      </c>
      <c r="BL15" s="42" t="s">
        <v>18</v>
      </c>
      <c r="BM15" s="42" t="s">
        <v>18</v>
      </c>
      <c r="BN15" s="42" t="s">
        <v>18</v>
      </c>
      <c r="BO15" s="32"/>
      <c r="BP15" s="74" t="s">
        <v>18</v>
      </c>
      <c r="BQ15" s="32"/>
      <c r="BR15" s="49" t="s">
        <v>18</v>
      </c>
      <c r="BS15" s="32"/>
      <c r="BT15" s="32"/>
      <c r="BU15" s="74" t="s">
        <v>18</v>
      </c>
      <c r="BV15" s="74" t="s">
        <v>18</v>
      </c>
      <c r="BW15" s="32"/>
      <c r="BX15" s="48" t="str">
        <f t="shared" si="4"/>
        <v>0,00%</v>
      </c>
    </row>
    <row r="16">
      <c r="A16" s="24">
        <v>12.0</v>
      </c>
      <c r="B16" s="62"/>
      <c r="C16" s="79"/>
      <c r="D16" s="59" t="s">
        <v>15</v>
      </c>
      <c r="E16" s="59" t="s">
        <v>15</v>
      </c>
      <c r="F16" s="59" t="s">
        <v>15</v>
      </c>
      <c r="G16" s="59" t="s">
        <v>15</v>
      </c>
      <c r="H16" s="59" t="s">
        <v>15</v>
      </c>
      <c r="I16" s="59" t="s">
        <v>15</v>
      </c>
      <c r="J16" s="39" t="s">
        <v>15</v>
      </c>
      <c r="K16" s="39" t="s">
        <v>15</v>
      </c>
      <c r="L16" s="59" t="s">
        <v>15</v>
      </c>
      <c r="M16" s="59" t="s">
        <v>15</v>
      </c>
      <c r="N16" s="59" t="s">
        <v>15</v>
      </c>
      <c r="O16" s="61" t="s">
        <v>15</v>
      </c>
      <c r="P16" s="61" t="s">
        <v>15</v>
      </c>
      <c r="Q16" s="59" t="s">
        <v>15</v>
      </c>
      <c r="R16" s="70" t="s">
        <v>16</v>
      </c>
      <c r="S16" s="59" t="s">
        <v>15</v>
      </c>
      <c r="T16" s="59" t="s">
        <v>15</v>
      </c>
      <c r="U16" s="70" t="s">
        <v>16</v>
      </c>
      <c r="V16" s="59" t="s">
        <v>15</v>
      </c>
      <c r="W16" s="59" t="s">
        <v>16</v>
      </c>
      <c r="X16" s="34">
        <f t="shared" si="1"/>
        <v>0.85</v>
      </c>
      <c r="Y16" s="59" t="s">
        <v>15</v>
      </c>
      <c r="Z16" s="59" t="s">
        <v>15</v>
      </c>
      <c r="AA16" s="39" t="s">
        <v>15</v>
      </c>
      <c r="AB16" s="39" t="s">
        <v>15</v>
      </c>
      <c r="AC16" s="66" t="s">
        <v>15</v>
      </c>
      <c r="AD16" s="39" t="s">
        <v>15</v>
      </c>
      <c r="AE16" s="70" t="s">
        <v>16</v>
      </c>
      <c r="AF16" s="70" t="s">
        <v>16</v>
      </c>
      <c r="AG16" s="29" t="s">
        <v>15</v>
      </c>
      <c r="AH16" s="39" t="s">
        <v>15</v>
      </c>
      <c r="AI16" s="39" t="s">
        <v>15</v>
      </c>
      <c r="AJ16" s="29" t="s">
        <v>15</v>
      </c>
      <c r="AK16" s="70" t="s">
        <v>16</v>
      </c>
      <c r="AL16" s="29" t="s">
        <v>16</v>
      </c>
      <c r="AM16" s="39" t="s">
        <v>15</v>
      </c>
      <c r="AN16" s="70" t="s">
        <v>16</v>
      </c>
      <c r="AO16" s="29" t="s">
        <v>16</v>
      </c>
      <c r="AP16" s="39" t="s">
        <v>15</v>
      </c>
      <c r="AQ16" s="29" t="s">
        <v>15</v>
      </c>
      <c r="AR16" s="39" t="s">
        <v>15</v>
      </c>
      <c r="AS16" s="34">
        <f t="shared" si="2"/>
        <v>0.7</v>
      </c>
      <c r="AT16" s="39" t="s">
        <v>15</v>
      </c>
      <c r="AU16" s="29" t="s">
        <v>15</v>
      </c>
      <c r="AV16" s="29" t="s">
        <v>15</v>
      </c>
      <c r="AW16" s="29" t="s">
        <v>15</v>
      </c>
      <c r="AX16" s="39" t="s">
        <v>15</v>
      </c>
      <c r="AY16" s="39" t="s">
        <v>15</v>
      </c>
      <c r="AZ16" s="39" t="s">
        <v>15</v>
      </c>
      <c r="BA16" s="34">
        <f t="shared" si="3"/>
        <v>1</v>
      </c>
      <c r="BB16" s="29" t="s">
        <v>15</v>
      </c>
      <c r="BC16" s="29" t="s">
        <v>15</v>
      </c>
      <c r="BD16" s="29" t="s">
        <v>15</v>
      </c>
      <c r="BE16" s="29" t="s">
        <v>15</v>
      </c>
      <c r="BF16" s="39" t="s">
        <v>15</v>
      </c>
      <c r="BG16" s="29" t="s">
        <v>15</v>
      </c>
      <c r="BH16" s="39" t="s">
        <v>15</v>
      </c>
      <c r="BI16" s="39" t="s">
        <v>15</v>
      </c>
      <c r="BJ16" s="65" t="s">
        <v>15</v>
      </c>
      <c r="BK16" s="75" t="s">
        <v>15</v>
      </c>
      <c r="BL16" s="75" t="s">
        <v>15</v>
      </c>
      <c r="BM16" s="75" t="s">
        <v>15</v>
      </c>
      <c r="BN16" s="75" t="s">
        <v>15</v>
      </c>
      <c r="BO16" s="75" t="s">
        <v>15</v>
      </c>
      <c r="BP16" s="75" t="s">
        <v>15</v>
      </c>
      <c r="BQ16" s="75" t="s">
        <v>15</v>
      </c>
      <c r="BR16" s="75" t="s">
        <v>15</v>
      </c>
      <c r="BS16" s="29" t="s">
        <v>15</v>
      </c>
      <c r="BT16" s="65" t="s">
        <v>15</v>
      </c>
      <c r="BU16" s="65" t="s">
        <v>15</v>
      </c>
      <c r="BV16" s="65" t="s">
        <v>15</v>
      </c>
      <c r="BW16" s="65" t="s">
        <v>15</v>
      </c>
      <c r="BX16" s="22">
        <f t="shared" si="4"/>
        <v>1</v>
      </c>
    </row>
    <row r="17">
      <c r="A17" s="24">
        <v>13.0</v>
      </c>
      <c r="B17" s="55"/>
      <c r="C17" s="79"/>
      <c r="D17" s="59" t="s">
        <v>15</v>
      </c>
      <c r="E17" s="59" t="s">
        <v>16</v>
      </c>
      <c r="F17" s="59" t="s">
        <v>15</v>
      </c>
      <c r="G17" s="59" t="s">
        <v>15</v>
      </c>
      <c r="H17" s="59" t="s">
        <v>16</v>
      </c>
      <c r="I17" s="59" t="s">
        <v>15</v>
      </c>
      <c r="J17" s="39" t="s">
        <v>15</v>
      </c>
      <c r="K17" s="39" t="s">
        <v>15</v>
      </c>
      <c r="L17" s="59" t="s">
        <v>15</v>
      </c>
      <c r="M17" s="59" t="s">
        <v>15</v>
      </c>
      <c r="N17" s="59" t="s">
        <v>15</v>
      </c>
      <c r="O17" s="61" t="s">
        <v>15</v>
      </c>
      <c r="P17" s="61" t="s">
        <v>15</v>
      </c>
      <c r="Q17" s="59" t="s">
        <v>15</v>
      </c>
      <c r="R17" s="70" t="s">
        <v>16</v>
      </c>
      <c r="S17" s="59" t="s">
        <v>15</v>
      </c>
      <c r="T17" s="59" t="s">
        <v>15</v>
      </c>
      <c r="U17" s="70" t="s">
        <v>16</v>
      </c>
      <c r="V17" s="59" t="s">
        <v>15</v>
      </c>
      <c r="W17" s="59" t="s">
        <v>15</v>
      </c>
      <c r="X17" s="34">
        <f t="shared" si="1"/>
        <v>0.8</v>
      </c>
      <c r="Y17" s="59" t="s">
        <v>15</v>
      </c>
      <c r="Z17" s="59" t="s">
        <v>16</v>
      </c>
      <c r="AA17" s="70" t="s">
        <v>16</v>
      </c>
      <c r="AB17" s="39" t="s">
        <v>15</v>
      </c>
      <c r="AC17" s="66" t="s">
        <v>15</v>
      </c>
      <c r="AD17" s="39" t="s">
        <v>15</v>
      </c>
      <c r="AE17" s="75" t="s">
        <v>15</v>
      </c>
      <c r="AF17" s="39" t="s">
        <v>15</v>
      </c>
      <c r="AG17" s="29" t="s">
        <v>15</v>
      </c>
      <c r="AH17" s="39" t="s">
        <v>15</v>
      </c>
      <c r="AI17" s="39" t="s">
        <v>15</v>
      </c>
      <c r="AJ17" s="29" t="s">
        <v>16</v>
      </c>
      <c r="AK17" s="70" t="s">
        <v>16</v>
      </c>
      <c r="AL17" s="39" t="s">
        <v>15</v>
      </c>
      <c r="AM17" s="39" t="s">
        <v>15</v>
      </c>
      <c r="AN17" s="70" t="s">
        <v>16</v>
      </c>
      <c r="AO17" s="39" t="s">
        <v>15</v>
      </c>
      <c r="AP17" s="70" t="s">
        <v>16</v>
      </c>
      <c r="AQ17" s="29" t="s">
        <v>16</v>
      </c>
      <c r="AR17" s="70" t="s">
        <v>16</v>
      </c>
      <c r="AS17" s="34">
        <f t="shared" si="2"/>
        <v>0.6</v>
      </c>
      <c r="AT17" s="39" t="s">
        <v>15</v>
      </c>
      <c r="AU17" s="29" t="s">
        <v>16</v>
      </c>
      <c r="AV17" s="29" t="s">
        <v>15</v>
      </c>
      <c r="AW17" s="29" t="s">
        <v>15</v>
      </c>
      <c r="AX17" s="39" t="s">
        <v>15</v>
      </c>
      <c r="AY17" s="39" t="s">
        <v>15</v>
      </c>
      <c r="AZ17" s="66" t="s">
        <v>16</v>
      </c>
      <c r="BA17" s="34">
        <f t="shared" si="3"/>
        <v>0.7142857143</v>
      </c>
      <c r="BB17" s="29" t="s">
        <v>15</v>
      </c>
      <c r="BC17" s="29" t="s">
        <v>15</v>
      </c>
      <c r="BD17" s="29" t="s">
        <v>15</v>
      </c>
      <c r="BE17" s="29" t="s">
        <v>16</v>
      </c>
      <c r="BF17" s="39" t="s">
        <v>15</v>
      </c>
      <c r="BG17" s="29" t="s">
        <v>15</v>
      </c>
      <c r="BH17" s="70" t="s">
        <v>16</v>
      </c>
      <c r="BI17" s="73" t="s">
        <v>16</v>
      </c>
      <c r="BJ17" s="65" t="s">
        <v>15</v>
      </c>
      <c r="BK17" s="75" t="s">
        <v>15</v>
      </c>
      <c r="BL17" s="75" t="s">
        <v>15</v>
      </c>
      <c r="BM17" s="73" t="s">
        <v>16</v>
      </c>
      <c r="BN17" s="75" t="s">
        <v>15</v>
      </c>
      <c r="BO17" s="75" t="s">
        <v>15</v>
      </c>
      <c r="BP17" s="75" t="s">
        <v>15</v>
      </c>
      <c r="BQ17" s="75" t="s">
        <v>15</v>
      </c>
      <c r="BR17" s="75" t="s">
        <v>15</v>
      </c>
      <c r="BS17" s="29" t="s">
        <v>16</v>
      </c>
      <c r="BT17" s="29" t="s">
        <v>15</v>
      </c>
      <c r="BU17" s="65" t="s">
        <v>15</v>
      </c>
      <c r="BV17" s="65" t="s">
        <v>15</v>
      </c>
      <c r="BW17" s="51" t="s">
        <v>16</v>
      </c>
      <c r="BX17" s="22">
        <f t="shared" si="4"/>
        <v>0.7272727273</v>
      </c>
    </row>
    <row r="18">
      <c r="A18" s="24">
        <v>14.0</v>
      </c>
      <c r="B18" s="62"/>
      <c r="C18" s="56"/>
      <c r="D18" s="59" t="s">
        <v>15</v>
      </c>
      <c r="E18" s="59" t="s">
        <v>15</v>
      </c>
      <c r="F18" s="59" t="s">
        <v>16</v>
      </c>
      <c r="G18" s="59" t="s">
        <v>15</v>
      </c>
      <c r="H18" s="59" t="s">
        <v>15</v>
      </c>
      <c r="I18" s="59" t="s">
        <v>15</v>
      </c>
      <c r="J18" s="39" t="s">
        <v>15</v>
      </c>
      <c r="K18" s="39" t="s">
        <v>15</v>
      </c>
      <c r="L18" s="59" t="s">
        <v>15</v>
      </c>
      <c r="M18" s="59" t="s">
        <v>15</v>
      </c>
      <c r="N18" s="59" t="s">
        <v>15</v>
      </c>
      <c r="O18" s="61" t="s">
        <v>15</v>
      </c>
      <c r="P18" s="61" t="s">
        <v>15</v>
      </c>
      <c r="Q18" s="59" t="s">
        <v>16</v>
      </c>
      <c r="R18" s="61" t="s">
        <v>15</v>
      </c>
      <c r="S18" s="59" t="s">
        <v>15</v>
      </c>
      <c r="T18" s="59" t="s">
        <v>15</v>
      </c>
      <c r="U18" s="39" t="s">
        <v>15</v>
      </c>
      <c r="V18" s="59" t="s">
        <v>15</v>
      </c>
      <c r="W18" s="59" t="s">
        <v>16</v>
      </c>
      <c r="X18" s="34">
        <f t="shared" si="1"/>
        <v>0.85</v>
      </c>
      <c r="Y18" s="59" t="s">
        <v>15</v>
      </c>
      <c r="Z18" s="59" t="s">
        <v>15</v>
      </c>
      <c r="AA18" s="39" t="s">
        <v>15</v>
      </c>
      <c r="AB18" s="70" t="s">
        <v>16</v>
      </c>
      <c r="AC18" s="66" t="s">
        <v>15</v>
      </c>
      <c r="AD18" s="39" t="s">
        <v>15</v>
      </c>
      <c r="AE18" s="75" t="s">
        <v>15</v>
      </c>
      <c r="AF18" s="39" t="s">
        <v>15</v>
      </c>
      <c r="AG18" s="29" t="s">
        <v>15</v>
      </c>
      <c r="AH18" s="39" t="s">
        <v>15</v>
      </c>
      <c r="AI18" s="39" t="s">
        <v>15</v>
      </c>
      <c r="AJ18" s="29" t="s">
        <v>16</v>
      </c>
      <c r="AK18" s="39" t="s">
        <v>15</v>
      </c>
      <c r="AL18" s="29" t="s">
        <v>16</v>
      </c>
      <c r="AM18" s="39" t="s">
        <v>15</v>
      </c>
      <c r="AN18" s="39" t="s">
        <v>15</v>
      </c>
      <c r="AO18" s="39" t="s">
        <v>15</v>
      </c>
      <c r="AP18" s="70" t="s">
        <v>16</v>
      </c>
      <c r="AQ18" s="29" t="s">
        <v>15</v>
      </c>
      <c r="AR18" s="39" t="s">
        <v>15</v>
      </c>
      <c r="AS18" s="34">
        <f t="shared" si="2"/>
        <v>0.8</v>
      </c>
      <c r="AT18" s="39" t="s">
        <v>15</v>
      </c>
      <c r="AU18" s="29" t="s">
        <v>16</v>
      </c>
      <c r="AV18" s="29" t="s">
        <v>15</v>
      </c>
      <c r="AW18" s="29" t="s">
        <v>15</v>
      </c>
      <c r="AX18" s="39" t="s">
        <v>15</v>
      </c>
      <c r="AY18" s="39" t="s">
        <v>15</v>
      </c>
      <c r="AZ18" s="39" t="s">
        <v>15</v>
      </c>
      <c r="BA18" s="34">
        <f t="shared" si="3"/>
        <v>0.8571428571</v>
      </c>
      <c r="BB18" s="29" t="s">
        <v>15</v>
      </c>
      <c r="BC18" s="29" t="s">
        <v>15</v>
      </c>
      <c r="BD18" s="29" t="s">
        <v>16</v>
      </c>
      <c r="BE18" s="29" t="s">
        <v>15</v>
      </c>
      <c r="BF18" s="39" t="s">
        <v>15</v>
      </c>
      <c r="BG18" s="29" t="s">
        <v>15</v>
      </c>
      <c r="BH18" s="39" t="s">
        <v>15</v>
      </c>
      <c r="BI18" s="73" t="s">
        <v>16</v>
      </c>
      <c r="BJ18" s="65" t="s">
        <v>15</v>
      </c>
      <c r="BK18" s="73" t="s">
        <v>16</v>
      </c>
      <c r="BL18" s="75" t="s">
        <v>15</v>
      </c>
      <c r="BM18" s="75" t="s">
        <v>15</v>
      </c>
      <c r="BN18" s="75" t="s">
        <v>15</v>
      </c>
      <c r="BO18" s="73" t="s">
        <v>16</v>
      </c>
      <c r="BP18" s="75" t="s">
        <v>15</v>
      </c>
      <c r="BQ18" s="75" t="s">
        <v>15</v>
      </c>
      <c r="BR18" s="75" t="s">
        <v>15</v>
      </c>
      <c r="BS18" s="29" t="s">
        <v>16</v>
      </c>
      <c r="BT18" s="29" t="s">
        <v>15</v>
      </c>
      <c r="BU18" s="65" t="s">
        <v>15</v>
      </c>
      <c r="BV18" s="51" t="s">
        <v>16</v>
      </c>
      <c r="BW18" s="65" t="s">
        <v>15</v>
      </c>
      <c r="BX18" s="22">
        <f t="shared" si="4"/>
        <v>0.7272727273</v>
      </c>
    </row>
    <row r="19">
      <c r="A19" s="24">
        <v>15.0</v>
      </c>
      <c r="B19" s="55"/>
      <c r="C19" s="79"/>
      <c r="D19" s="59" t="s">
        <v>15</v>
      </c>
      <c r="E19" s="59" t="s">
        <v>15</v>
      </c>
      <c r="F19" s="59" t="s">
        <v>15</v>
      </c>
      <c r="G19" s="59" t="s">
        <v>15</v>
      </c>
      <c r="H19" s="59" t="s">
        <v>15</v>
      </c>
      <c r="I19" s="59" t="s">
        <v>15</v>
      </c>
      <c r="J19" s="39" t="s">
        <v>15</v>
      </c>
      <c r="K19" s="39" t="s">
        <v>15</v>
      </c>
      <c r="L19" s="59" t="s">
        <v>16</v>
      </c>
      <c r="M19" s="59" t="s">
        <v>15</v>
      </c>
      <c r="N19" s="59" t="s">
        <v>15</v>
      </c>
      <c r="O19" s="61" t="s">
        <v>15</v>
      </c>
      <c r="P19" s="61" t="s">
        <v>15</v>
      </c>
      <c r="Q19" s="59" t="s">
        <v>15</v>
      </c>
      <c r="R19" s="61" t="s">
        <v>15</v>
      </c>
      <c r="S19" s="59" t="s">
        <v>15</v>
      </c>
      <c r="T19" s="59" t="s">
        <v>15</v>
      </c>
      <c r="U19" s="70" t="s">
        <v>16</v>
      </c>
      <c r="V19" s="59" t="s">
        <v>15</v>
      </c>
      <c r="W19" s="59" t="s">
        <v>15</v>
      </c>
      <c r="X19" s="34">
        <f t="shared" si="1"/>
        <v>0.9</v>
      </c>
      <c r="Y19" s="59" t="s">
        <v>15</v>
      </c>
      <c r="Z19" s="59" t="s">
        <v>15</v>
      </c>
      <c r="AA19" s="39" t="s">
        <v>15</v>
      </c>
      <c r="AB19" s="39" t="s">
        <v>15</v>
      </c>
      <c r="AC19" s="66" t="s">
        <v>15</v>
      </c>
      <c r="AD19" s="39" t="s">
        <v>15</v>
      </c>
      <c r="AE19" s="75" t="s">
        <v>15</v>
      </c>
      <c r="AF19" s="39" t="s">
        <v>15</v>
      </c>
      <c r="AG19" s="29" t="s">
        <v>16</v>
      </c>
      <c r="AH19" s="70" t="s">
        <v>16</v>
      </c>
      <c r="AI19" s="39" t="s">
        <v>15</v>
      </c>
      <c r="AJ19" s="29" t="s">
        <v>15</v>
      </c>
      <c r="AK19" s="39" t="s">
        <v>15</v>
      </c>
      <c r="AL19" s="29" t="s">
        <v>16</v>
      </c>
      <c r="AM19" s="39" t="s">
        <v>15</v>
      </c>
      <c r="AN19" s="70" t="s">
        <v>16</v>
      </c>
      <c r="AO19" s="39" t="s">
        <v>15</v>
      </c>
      <c r="AP19" s="39" t="s">
        <v>15</v>
      </c>
      <c r="AQ19" s="29" t="s">
        <v>15</v>
      </c>
      <c r="AR19" s="39" t="s">
        <v>15</v>
      </c>
      <c r="AS19" s="34">
        <f t="shared" si="2"/>
        <v>0.8</v>
      </c>
      <c r="AT19" s="39" t="s">
        <v>15</v>
      </c>
      <c r="AU19" s="29" t="s">
        <v>16</v>
      </c>
      <c r="AV19" s="29" t="s">
        <v>15</v>
      </c>
      <c r="AW19" s="29" t="s">
        <v>15</v>
      </c>
      <c r="AX19" s="39" t="s">
        <v>15</v>
      </c>
      <c r="AY19" s="39" t="s">
        <v>15</v>
      </c>
      <c r="AZ19" s="66" t="s">
        <v>16</v>
      </c>
      <c r="BA19" s="34">
        <f t="shared" si="3"/>
        <v>0.7142857143</v>
      </c>
      <c r="BB19" s="29" t="s">
        <v>15</v>
      </c>
      <c r="BC19" s="29" t="s">
        <v>16</v>
      </c>
      <c r="BD19" s="29" t="s">
        <v>15</v>
      </c>
      <c r="BE19" s="29" t="s">
        <v>15</v>
      </c>
      <c r="BF19" s="39" t="s">
        <v>15</v>
      </c>
      <c r="BG19" s="32" t="s">
        <v>16</v>
      </c>
      <c r="BH19" s="70" t="s">
        <v>16</v>
      </c>
      <c r="BI19" s="39" t="s">
        <v>15</v>
      </c>
      <c r="BJ19" s="65" t="s">
        <v>15</v>
      </c>
      <c r="BK19" s="75" t="s">
        <v>15</v>
      </c>
      <c r="BL19" s="73" t="s">
        <v>16</v>
      </c>
      <c r="BM19" s="75" t="s">
        <v>15</v>
      </c>
      <c r="BN19" s="75" t="s">
        <v>15</v>
      </c>
      <c r="BO19" s="75" t="s">
        <v>15</v>
      </c>
      <c r="BP19" s="75" t="s">
        <v>15</v>
      </c>
      <c r="BQ19" s="75" t="s">
        <v>15</v>
      </c>
      <c r="BR19" s="75" t="s">
        <v>15</v>
      </c>
      <c r="BS19" s="29" t="s">
        <v>16</v>
      </c>
      <c r="BT19" s="29" t="s">
        <v>15</v>
      </c>
      <c r="BU19" s="65" t="s">
        <v>15</v>
      </c>
      <c r="BV19" s="51" t="s">
        <v>16</v>
      </c>
      <c r="BW19" s="65" t="s">
        <v>15</v>
      </c>
      <c r="BX19" s="22">
        <f t="shared" si="4"/>
        <v>0.7272727273</v>
      </c>
    </row>
    <row r="20">
      <c r="A20" s="24">
        <v>16.0</v>
      </c>
      <c r="B20" s="55"/>
      <c r="C20" s="79"/>
      <c r="D20" s="59" t="s">
        <v>15</v>
      </c>
      <c r="E20" s="59" t="s">
        <v>16</v>
      </c>
      <c r="F20" s="59" t="s">
        <v>15</v>
      </c>
      <c r="G20" s="59" t="s">
        <v>15</v>
      </c>
      <c r="H20" s="59" t="s">
        <v>15</v>
      </c>
      <c r="I20" s="59" t="s">
        <v>15</v>
      </c>
      <c r="J20" s="39" t="s">
        <v>15</v>
      </c>
      <c r="K20" s="39" t="s">
        <v>15</v>
      </c>
      <c r="L20" s="59" t="s">
        <v>15</v>
      </c>
      <c r="M20" s="59" t="s">
        <v>15</v>
      </c>
      <c r="N20" s="59" t="s">
        <v>15</v>
      </c>
      <c r="O20" s="61" t="s">
        <v>15</v>
      </c>
      <c r="P20" s="61" t="s">
        <v>15</v>
      </c>
      <c r="Q20" s="59" t="s">
        <v>15</v>
      </c>
      <c r="R20" s="61" t="s">
        <v>15</v>
      </c>
      <c r="S20" s="59" t="s">
        <v>15</v>
      </c>
      <c r="T20" s="59" t="s">
        <v>15</v>
      </c>
      <c r="U20" s="39" t="s">
        <v>15</v>
      </c>
      <c r="V20" s="59" t="s">
        <v>15</v>
      </c>
      <c r="W20" s="59" t="s">
        <v>15</v>
      </c>
      <c r="X20" s="34">
        <f t="shared" si="1"/>
        <v>0.95</v>
      </c>
      <c r="Y20" s="59" t="s">
        <v>15</v>
      </c>
      <c r="Z20" s="59" t="s">
        <v>15</v>
      </c>
      <c r="AA20" s="39" t="s">
        <v>15</v>
      </c>
      <c r="AB20" s="39" t="s">
        <v>15</v>
      </c>
      <c r="AC20" s="66" t="s">
        <v>15</v>
      </c>
      <c r="AD20" s="39" t="s">
        <v>15</v>
      </c>
      <c r="AE20" s="70" t="s">
        <v>16</v>
      </c>
      <c r="AF20" s="39" t="s">
        <v>15</v>
      </c>
      <c r="AG20" s="29" t="s">
        <v>15</v>
      </c>
      <c r="AH20" s="39" t="s">
        <v>15</v>
      </c>
      <c r="AI20" s="39" t="s">
        <v>15</v>
      </c>
      <c r="AJ20" s="29" t="s">
        <v>15</v>
      </c>
      <c r="AK20" s="39" t="s">
        <v>15</v>
      </c>
      <c r="AL20" s="39" t="s">
        <v>15</v>
      </c>
      <c r="AM20" s="39" t="s">
        <v>15</v>
      </c>
      <c r="AN20" s="70" t="s">
        <v>16</v>
      </c>
      <c r="AO20" s="39" t="s">
        <v>15</v>
      </c>
      <c r="AP20" s="39" t="s">
        <v>15</v>
      </c>
      <c r="AQ20" s="29" t="s">
        <v>15</v>
      </c>
      <c r="AR20" s="39" t="s">
        <v>15</v>
      </c>
      <c r="AS20" s="34">
        <f t="shared" si="2"/>
        <v>0.9</v>
      </c>
      <c r="AT20" s="70" t="s">
        <v>16</v>
      </c>
      <c r="AU20" s="29" t="s">
        <v>15</v>
      </c>
      <c r="AV20" s="29" t="s">
        <v>15</v>
      </c>
      <c r="AW20" s="29" t="s">
        <v>15</v>
      </c>
      <c r="AX20" s="39" t="s">
        <v>15</v>
      </c>
      <c r="AY20" s="39" t="s">
        <v>15</v>
      </c>
      <c r="AZ20" s="39" t="s">
        <v>15</v>
      </c>
      <c r="BA20" s="34">
        <f t="shared" si="3"/>
        <v>0.8571428571</v>
      </c>
      <c r="BB20" s="32" t="s">
        <v>15</v>
      </c>
      <c r="BC20" s="32" t="s">
        <v>15</v>
      </c>
      <c r="BD20" s="32" t="s">
        <v>16</v>
      </c>
      <c r="BE20" s="29" t="s">
        <v>15</v>
      </c>
      <c r="BF20" s="39" t="s">
        <v>15</v>
      </c>
      <c r="BG20" s="32" t="s">
        <v>16</v>
      </c>
      <c r="BH20" s="39" t="s">
        <v>15</v>
      </c>
      <c r="BI20" s="39" t="s">
        <v>15</v>
      </c>
      <c r="BJ20" s="65" t="s">
        <v>15</v>
      </c>
      <c r="BK20" s="73" t="s">
        <v>16</v>
      </c>
      <c r="BL20" s="75" t="s">
        <v>15</v>
      </c>
      <c r="BM20" s="75" t="s">
        <v>15</v>
      </c>
      <c r="BN20" s="75" t="s">
        <v>15</v>
      </c>
      <c r="BO20" s="75" t="s">
        <v>15</v>
      </c>
      <c r="BP20" s="75" t="s">
        <v>15</v>
      </c>
      <c r="BQ20" s="75" t="s">
        <v>15</v>
      </c>
      <c r="BR20" s="75" t="s">
        <v>15</v>
      </c>
      <c r="BS20" s="29" t="s">
        <v>15</v>
      </c>
      <c r="BT20" s="29" t="s">
        <v>15</v>
      </c>
      <c r="BU20" s="65" t="s">
        <v>15</v>
      </c>
      <c r="BV20" s="65" t="s">
        <v>15</v>
      </c>
      <c r="BW20" s="65" t="s">
        <v>15</v>
      </c>
      <c r="BX20" s="22">
        <f t="shared" si="4"/>
        <v>0.8636363636</v>
      </c>
    </row>
    <row r="21">
      <c r="A21" s="24">
        <v>17.0</v>
      </c>
      <c r="B21" s="30"/>
      <c r="C21" s="100" t="s">
        <v>19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 t="s">
        <v>18</v>
      </c>
      <c r="V21" s="32"/>
      <c r="W21" s="32"/>
      <c r="X21" s="40" t="str">
        <f t="shared" si="1"/>
        <v>0,00%</v>
      </c>
      <c r="Y21" s="32"/>
      <c r="Z21" s="32"/>
      <c r="AA21" s="42" t="s">
        <v>18</v>
      </c>
      <c r="AB21" s="42" t="s">
        <v>18</v>
      </c>
      <c r="AC21" s="32"/>
      <c r="AD21" s="42" t="s">
        <v>18</v>
      </c>
      <c r="AE21" s="32"/>
      <c r="AF21" s="42" t="s">
        <v>18</v>
      </c>
      <c r="AG21" s="32"/>
      <c r="AH21" s="32"/>
      <c r="AI21" s="42" t="s">
        <v>18</v>
      </c>
      <c r="AJ21" s="32"/>
      <c r="AK21" s="42" t="s">
        <v>18</v>
      </c>
      <c r="AL21" s="32"/>
      <c r="AM21" s="32"/>
      <c r="AN21" s="42" t="s">
        <v>18</v>
      </c>
      <c r="AO21" s="32"/>
      <c r="AP21" s="42" t="s">
        <v>18</v>
      </c>
      <c r="AQ21" s="32"/>
      <c r="AR21" s="42" t="s">
        <v>18</v>
      </c>
      <c r="AS21" s="40" t="str">
        <f t="shared" si="2"/>
        <v>0,00%</v>
      </c>
      <c r="AT21" s="42" t="s">
        <v>18</v>
      </c>
      <c r="AU21" s="32"/>
      <c r="AV21" s="32"/>
      <c r="AW21" s="32"/>
      <c r="AX21" s="42" t="s">
        <v>18</v>
      </c>
      <c r="AY21" s="32"/>
      <c r="AZ21" s="32"/>
      <c r="BA21" s="40" t="str">
        <f t="shared" si="3"/>
        <v>0,00%</v>
      </c>
      <c r="BB21" s="32"/>
      <c r="BC21" s="32"/>
      <c r="BD21" s="32"/>
      <c r="BE21" s="32"/>
      <c r="BF21" s="42" t="s">
        <v>18</v>
      </c>
      <c r="BG21" s="32"/>
      <c r="BH21" s="42" t="s">
        <v>18</v>
      </c>
      <c r="BI21" s="42" t="s">
        <v>18</v>
      </c>
      <c r="BJ21" s="74" t="s">
        <v>18</v>
      </c>
      <c r="BK21" s="42" t="s">
        <v>18</v>
      </c>
      <c r="BL21" s="42" t="s">
        <v>18</v>
      </c>
      <c r="BM21" s="42" t="s">
        <v>18</v>
      </c>
      <c r="BN21" s="42" t="s">
        <v>18</v>
      </c>
      <c r="BO21" s="32"/>
      <c r="BP21" s="74" t="s">
        <v>18</v>
      </c>
      <c r="BQ21" s="32"/>
      <c r="BR21" s="49" t="s">
        <v>18</v>
      </c>
      <c r="BS21" s="32"/>
      <c r="BT21" s="32"/>
      <c r="BU21" s="74" t="s">
        <v>18</v>
      </c>
      <c r="BV21" s="74" t="s">
        <v>18</v>
      </c>
      <c r="BW21" s="32"/>
      <c r="BX21" s="48" t="str">
        <f t="shared" si="4"/>
        <v>0,00%</v>
      </c>
    </row>
    <row r="22">
      <c r="A22" s="24">
        <v>18.0</v>
      </c>
      <c r="B22" s="55"/>
      <c r="C22" s="79"/>
      <c r="D22" s="59" t="s">
        <v>15</v>
      </c>
      <c r="E22" s="59" t="s">
        <v>15</v>
      </c>
      <c r="F22" s="59" t="s">
        <v>15</v>
      </c>
      <c r="G22" s="59" t="s">
        <v>15</v>
      </c>
      <c r="H22" s="59" t="s">
        <v>16</v>
      </c>
      <c r="I22" s="59" t="s">
        <v>15</v>
      </c>
      <c r="J22" s="39" t="s">
        <v>15</v>
      </c>
      <c r="K22" s="39" t="s">
        <v>15</v>
      </c>
      <c r="L22" s="59" t="s">
        <v>15</v>
      </c>
      <c r="M22" s="59" t="s">
        <v>15</v>
      </c>
      <c r="N22" s="59" t="s">
        <v>15</v>
      </c>
      <c r="O22" s="61" t="s">
        <v>15</v>
      </c>
      <c r="P22" s="61" t="s">
        <v>15</v>
      </c>
      <c r="Q22" s="59" t="s">
        <v>15</v>
      </c>
      <c r="R22" s="61" t="s">
        <v>15</v>
      </c>
      <c r="S22" s="59" t="s">
        <v>15</v>
      </c>
      <c r="T22" s="59" t="s">
        <v>15</v>
      </c>
      <c r="U22" s="39" t="s">
        <v>15</v>
      </c>
      <c r="V22" s="59" t="s">
        <v>15</v>
      </c>
      <c r="W22" s="59" t="s">
        <v>15</v>
      </c>
      <c r="X22" s="34">
        <f t="shared" si="1"/>
        <v>0.95</v>
      </c>
      <c r="Y22" s="59" t="s">
        <v>15</v>
      </c>
      <c r="Z22" s="59" t="s">
        <v>15</v>
      </c>
      <c r="AA22" s="70" t="s">
        <v>16</v>
      </c>
      <c r="AB22" s="39" t="s">
        <v>15</v>
      </c>
      <c r="AC22" s="66" t="s">
        <v>15</v>
      </c>
      <c r="AD22" s="39" t="s">
        <v>15</v>
      </c>
      <c r="AE22" s="75" t="s">
        <v>15</v>
      </c>
      <c r="AF22" s="39" t="s">
        <v>15</v>
      </c>
      <c r="AG22" s="29" t="s">
        <v>15</v>
      </c>
      <c r="AH22" s="70" t="s">
        <v>16</v>
      </c>
      <c r="AI22" s="39" t="s">
        <v>15</v>
      </c>
      <c r="AJ22" s="29" t="s">
        <v>15</v>
      </c>
      <c r="AK22" s="39" t="s">
        <v>15</v>
      </c>
      <c r="AL22" s="39" t="s">
        <v>15</v>
      </c>
      <c r="AM22" s="39" t="s">
        <v>15</v>
      </c>
      <c r="AN22" s="39" t="s">
        <v>15</v>
      </c>
      <c r="AO22" s="29" t="s">
        <v>16</v>
      </c>
      <c r="AP22" s="39" t="s">
        <v>15</v>
      </c>
      <c r="AQ22" s="29" t="s">
        <v>15</v>
      </c>
      <c r="AR22" s="39" t="s">
        <v>15</v>
      </c>
      <c r="AS22" s="34">
        <f t="shared" si="2"/>
        <v>0.85</v>
      </c>
      <c r="AT22" s="39" t="s">
        <v>15</v>
      </c>
      <c r="AU22" s="29" t="s">
        <v>15</v>
      </c>
      <c r="AV22" s="29" t="s">
        <v>15</v>
      </c>
      <c r="AW22" s="29" t="s">
        <v>15</v>
      </c>
      <c r="AX22" s="39" t="s">
        <v>15</v>
      </c>
      <c r="AY22" s="39" t="s">
        <v>15</v>
      </c>
      <c r="AZ22" s="39" t="s">
        <v>15</v>
      </c>
      <c r="BA22" s="34">
        <f t="shared" si="3"/>
        <v>1</v>
      </c>
      <c r="BB22" s="29" t="s">
        <v>15</v>
      </c>
      <c r="BC22" s="29" t="s">
        <v>15</v>
      </c>
      <c r="BD22" s="29" t="s">
        <v>15</v>
      </c>
      <c r="BE22" s="29" t="s">
        <v>15</v>
      </c>
      <c r="BF22" s="39" t="s">
        <v>15</v>
      </c>
      <c r="BG22" s="32" t="s">
        <v>16</v>
      </c>
      <c r="BH22" s="70" t="s">
        <v>16</v>
      </c>
      <c r="BI22" s="39" t="s">
        <v>15</v>
      </c>
      <c r="BJ22" s="65" t="s">
        <v>15</v>
      </c>
      <c r="BK22" s="75" t="s">
        <v>15</v>
      </c>
      <c r="BL22" s="75" t="s">
        <v>15</v>
      </c>
      <c r="BM22" s="75" t="s">
        <v>15</v>
      </c>
      <c r="BN22" s="75" t="s">
        <v>15</v>
      </c>
      <c r="BO22" s="75" t="s">
        <v>15</v>
      </c>
      <c r="BP22" s="75" t="s">
        <v>15</v>
      </c>
      <c r="BQ22" s="75" t="s">
        <v>15</v>
      </c>
      <c r="BR22" s="75" t="s">
        <v>15</v>
      </c>
      <c r="BS22" s="29" t="s">
        <v>16</v>
      </c>
      <c r="BT22" s="29" t="s">
        <v>15</v>
      </c>
      <c r="BU22" s="65" t="s">
        <v>15</v>
      </c>
      <c r="BV22" s="51" t="s">
        <v>16</v>
      </c>
      <c r="BW22" s="51" t="s">
        <v>16</v>
      </c>
      <c r="BX22" s="22">
        <f t="shared" si="4"/>
        <v>0.7727272727</v>
      </c>
    </row>
    <row r="23">
      <c r="A23" s="24">
        <v>19.0</v>
      </c>
      <c r="B23" s="121"/>
      <c r="C23" s="79"/>
      <c r="D23" s="59" t="s">
        <v>15</v>
      </c>
      <c r="E23" s="59" t="s">
        <v>15</v>
      </c>
      <c r="F23" s="59" t="s">
        <v>15</v>
      </c>
      <c r="G23" s="59" t="s">
        <v>15</v>
      </c>
      <c r="H23" s="59" t="s">
        <v>15</v>
      </c>
      <c r="I23" s="59" t="s">
        <v>15</v>
      </c>
      <c r="J23" s="39" t="s">
        <v>15</v>
      </c>
      <c r="K23" s="70" t="s">
        <v>16</v>
      </c>
      <c r="L23" s="59" t="s">
        <v>15</v>
      </c>
      <c r="M23" s="59" t="s">
        <v>15</v>
      </c>
      <c r="N23" s="59" t="s">
        <v>15</v>
      </c>
      <c r="O23" s="61" t="s">
        <v>15</v>
      </c>
      <c r="P23" s="61" t="s">
        <v>15</v>
      </c>
      <c r="Q23" s="59" t="s">
        <v>15</v>
      </c>
      <c r="R23" s="70" t="s">
        <v>16</v>
      </c>
      <c r="S23" s="59" t="s">
        <v>16</v>
      </c>
      <c r="T23" s="59" t="s">
        <v>15</v>
      </c>
      <c r="U23" s="39" t="s">
        <v>15</v>
      </c>
      <c r="V23" s="59" t="s">
        <v>15</v>
      </c>
      <c r="W23" s="59" t="s">
        <v>16</v>
      </c>
      <c r="X23" s="34">
        <f t="shared" si="1"/>
        <v>0.8</v>
      </c>
      <c r="Y23" s="59" t="s">
        <v>15</v>
      </c>
      <c r="Z23" s="59" t="s">
        <v>15</v>
      </c>
      <c r="AA23" s="39" t="s">
        <v>15</v>
      </c>
      <c r="AB23" s="39" t="s">
        <v>15</v>
      </c>
      <c r="AC23" s="66" t="s">
        <v>15</v>
      </c>
      <c r="AD23" s="39" t="s">
        <v>15</v>
      </c>
      <c r="AE23" s="75" t="s">
        <v>15</v>
      </c>
      <c r="AF23" s="39" t="s">
        <v>15</v>
      </c>
      <c r="AG23" s="29" t="s">
        <v>16</v>
      </c>
      <c r="AH23" s="39" t="s">
        <v>15</v>
      </c>
      <c r="AI23" s="39" t="s">
        <v>15</v>
      </c>
      <c r="AJ23" s="29" t="s">
        <v>16</v>
      </c>
      <c r="AK23" s="39" t="s">
        <v>15</v>
      </c>
      <c r="AL23" s="39" t="s">
        <v>15</v>
      </c>
      <c r="AM23" s="39" t="s">
        <v>15</v>
      </c>
      <c r="AN23" s="70" t="s">
        <v>16</v>
      </c>
      <c r="AO23" s="29" t="s">
        <v>16</v>
      </c>
      <c r="AP23" s="39" t="s">
        <v>15</v>
      </c>
      <c r="AQ23" s="29" t="s">
        <v>15</v>
      </c>
      <c r="AR23" s="39" t="s">
        <v>15</v>
      </c>
      <c r="AS23" s="34">
        <f t="shared" si="2"/>
        <v>0.8</v>
      </c>
      <c r="AT23" s="39" t="s">
        <v>15</v>
      </c>
      <c r="AU23" s="29" t="s">
        <v>15</v>
      </c>
      <c r="AV23" s="29" t="s">
        <v>15</v>
      </c>
      <c r="AW23" s="29" t="s">
        <v>15</v>
      </c>
      <c r="AX23" s="70" t="s">
        <v>16</v>
      </c>
      <c r="AY23" s="39" t="s">
        <v>15</v>
      </c>
      <c r="AZ23" s="39" t="s">
        <v>15</v>
      </c>
      <c r="BA23" s="34">
        <f t="shared" si="3"/>
        <v>0.8571428571</v>
      </c>
      <c r="BB23" s="29" t="s">
        <v>16</v>
      </c>
      <c r="BC23" s="29" t="s">
        <v>15</v>
      </c>
      <c r="BD23" s="29" t="s">
        <v>15</v>
      </c>
      <c r="BE23" s="29" t="s">
        <v>15</v>
      </c>
      <c r="BF23" s="39" t="s">
        <v>15</v>
      </c>
      <c r="BG23" s="32" t="s">
        <v>16</v>
      </c>
      <c r="BH23" s="39" t="s">
        <v>15</v>
      </c>
      <c r="BI23" s="39" t="s">
        <v>15</v>
      </c>
      <c r="BJ23" s="51" t="s">
        <v>16</v>
      </c>
      <c r="BK23" s="73" t="s">
        <v>16</v>
      </c>
      <c r="BL23" s="75" t="s">
        <v>15</v>
      </c>
      <c r="BM23" s="75" t="s">
        <v>15</v>
      </c>
      <c r="BN23" s="75" t="s">
        <v>15</v>
      </c>
      <c r="BO23" s="75" t="s">
        <v>15</v>
      </c>
      <c r="BP23" s="75" t="s">
        <v>15</v>
      </c>
      <c r="BQ23" s="75" t="s">
        <v>15</v>
      </c>
      <c r="BR23" s="122" t="s">
        <v>16</v>
      </c>
      <c r="BS23" s="29" t="s">
        <v>16</v>
      </c>
      <c r="BT23" s="29" t="s">
        <v>15</v>
      </c>
      <c r="BU23" s="65" t="s">
        <v>15</v>
      </c>
      <c r="BV23" s="51" t="s">
        <v>16</v>
      </c>
      <c r="BW23" s="65" t="s">
        <v>15</v>
      </c>
      <c r="BX23" s="22">
        <f t="shared" si="4"/>
        <v>0.6818181818</v>
      </c>
    </row>
    <row r="24">
      <c r="A24" s="24">
        <v>20.0</v>
      </c>
      <c r="B24" s="46"/>
      <c r="C24" s="123"/>
      <c r="D24" s="59" t="s">
        <v>15</v>
      </c>
      <c r="E24" s="59" t="s">
        <v>15</v>
      </c>
      <c r="F24" s="59" t="s">
        <v>15</v>
      </c>
      <c r="G24" s="59" t="s">
        <v>15</v>
      </c>
      <c r="H24" s="59" t="s">
        <v>16</v>
      </c>
      <c r="I24" s="59" t="s">
        <v>16</v>
      </c>
      <c r="J24" s="39" t="s">
        <v>15</v>
      </c>
      <c r="K24" s="39" t="s">
        <v>15</v>
      </c>
      <c r="L24" s="59" t="s">
        <v>15</v>
      </c>
      <c r="M24" s="59" t="s">
        <v>15</v>
      </c>
      <c r="N24" s="59" t="s">
        <v>15</v>
      </c>
      <c r="O24" s="61" t="s">
        <v>15</v>
      </c>
      <c r="P24" s="70" t="s">
        <v>16</v>
      </c>
      <c r="Q24" s="59" t="s">
        <v>15</v>
      </c>
      <c r="R24" s="61" t="s">
        <v>15</v>
      </c>
      <c r="S24" s="59" t="s">
        <v>16</v>
      </c>
      <c r="T24" s="59" t="s">
        <v>15</v>
      </c>
      <c r="U24" s="39" t="s">
        <v>15</v>
      </c>
      <c r="V24" s="59" t="s">
        <v>16</v>
      </c>
      <c r="W24" s="59" t="s">
        <v>15</v>
      </c>
      <c r="X24" s="34">
        <f t="shared" si="1"/>
        <v>0.75</v>
      </c>
      <c r="Y24" s="59" t="s">
        <v>15</v>
      </c>
      <c r="Z24" s="59" t="s">
        <v>15</v>
      </c>
      <c r="AA24" s="39" t="s">
        <v>15</v>
      </c>
      <c r="AB24" s="39" t="s">
        <v>15</v>
      </c>
      <c r="AC24" s="29" t="s">
        <v>16</v>
      </c>
      <c r="AD24" s="39" t="s">
        <v>15</v>
      </c>
      <c r="AE24" s="75" t="s">
        <v>15</v>
      </c>
      <c r="AF24" s="39" t="s">
        <v>15</v>
      </c>
      <c r="AG24" s="29" t="s">
        <v>15</v>
      </c>
      <c r="AH24" s="39" t="s">
        <v>15</v>
      </c>
      <c r="AI24" s="70" t="s">
        <v>16</v>
      </c>
      <c r="AJ24" s="29" t="s">
        <v>15</v>
      </c>
      <c r="AK24" s="39" t="s">
        <v>15</v>
      </c>
      <c r="AL24" s="29" t="s">
        <v>16</v>
      </c>
      <c r="AM24" s="39" t="s">
        <v>15</v>
      </c>
      <c r="AN24" s="39" t="s">
        <v>15</v>
      </c>
      <c r="AO24" s="29" t="s">
        <v>16</v>
      </c>
      <c r="AP24" s="39" t="s">
        <v>15</v>
      </c>
      <c r="AQ24" s="29" t="s">
        <v>15</v>
      </c>
      <c r="AR24" s="39" t="s">
        <v>15</v>
      </c>
      <c r="AS24" s="34">
        <f t="shared" si="2"/>
        <v>0.8</v>
      </c>
      <c r="AT24" s="39" t="s">
        <v>15</v>
      </c>
      <c r="AU24" s="29" t="s">
        <v>15</v>
      </c>
      <c r="AV24" s="29" t="s">
        <v>15</v>
      </c>
      <c r="AW24" s="29" t="s">
        <v>16</v>
      </c>
      <c r="AX24" s="70" t="s">
        <v>16</v>
      </c>
      <c r="AY24" s="39" t="s">
        <v>15</v>
      </c>
      <c r="AZ24" s="66" t="s">
        <v>16</v>
      </c>
      <c r="BA24" s="34">
        <f t="shared" si="3"/>
        <v>0.5714285714</v>
      </c>
      <c r="BB24" s="29" t="s">
        <v>15</v>
      </c>
      <c r="BC24" s="29" t="s">
        <v>15</v>
      </c>
      <c r="BD24" s="29" t="s">
        <v>16</v>
      </c>
      <c r="BE24" s="29" t="s">
        <v>16</v>
      </c>
      <c r="BF24" s="39" t="s">
        <v>15</v>
      </c>
      <c r="BG24" s="29" t="s">
        <v>15</v>
      </c>
      <c r="BH24" s="70" t="s">
        <v>16</v>
      </c>
      <c r="BI24" s="39" t="s">
        <v>15</v>
      </c>
      <c r="BJ24" s="65" t="s">
        <v>15</v>
      </c>
      <c r="BK24" s="75" t="s">
        <v>15</v>
      </c>
      <c r="BL24" s="75" t="s">
        <v>15</v>
      </c>
      <c r="BM24" s="75" t="s">
        <v>15</v>
      </c>
      <c r="BN24" s="75" t="s">
        <v>15</v>
      </c>
      <c r="BO24" s="75" t="s">
        <v>15</v>
      </c>
      <c r="BP24" s="75" t="s">
        <v>15</v>
      </c>
      <c r="BQ24" s="75" t="s">
        <v>15</v>
      </c>
      <c r="BR24" s="75" t="s">
        <v>15</v>
      </c>
      <c r="BS24" s="29" t="s">
        <v>15</v>
      </c>
      <c r="BT24" s="29" t="s">
        <v>15</v>
      </c>
      <c r="BU24" s="65" t="s">
        <v>15</v>
      </c>
      <c r="BV24" s="65" t="s">
        <v>15</v>
      </c>
      <c r="BW24" s="65" t="s">
        <v>15</v>
      </c>
      <c r="BX24" s="22">
        <f t="shared" si="4"/>
        <v>0.8636363636</v>
      </c>
    </row>
    <row r="25">
      <c r="A25" s="24">
        <v>21.0</v>
      </c>
      <c r="B25" s="57"/>
      <c r="C25" s="123"/>
      <c r="D25" s="59" t="s">
        <v>15</v>
      </c>
      <c r="E25" s="59" t="s">
        <v>15</v>
      </c>
      <c r="F25" s="59" t="s">
        <v>15</v>
      </c>
      <c r="G25" s="59" t="s">
        <v>15</v>
      </c>
      <c r="H25" s="59" t="s">
        <v>15</v>
      </c>
      <c r="I25" s="59" t="s">
        <v>15</v>
      </c>
      <c r="J25" s="39" t="s">
        <v>15</v>
      </c>
      <c r="K25" s="39" t="s">
        <v>15</v>
      </c>
      <c r="L25" s="59" t="s">
        <v>15</v>
      </c>
      <c r="M25" s="59" t="s">
        <v>15</v>
      </c>
      <c r="N25" s="59" t="s">
        <v>15</v>
      </c>
      <c r="O25" s="70" t="s">
        <v>16</v>
      </c>
      <c r="P25" s="61" t="s">
        <v>15</v>
      </c>
      <c r="Q25" s="59" t="s">
        <v>15</v>
      </c>
      <c r="R25" s="124" t="s">
        <v>15</v>
      </c>
      <c r="S25" s="59" t="s">
        <v>15</v>
      </c>
      <c r="T25" s="59" t="s">
        <v>15</v>
      </c>
      <c r="U25" s="75" t="s">
        <v>15</v>
      </c>
      <c r="V25" s="59" t="s">
        <v>15</v>
      </c>
      <c r="W25" s="59" t="s">
        <v>15</v>
      </c>
      <c r="X25" s="34">
        <f t="shared" si="1"/>
        <v>0.95</v>
      </c>
      <c r="Y25" s="59" t="s">
        <v>15</v>
      </c>
      <c r="Z25" s="59" t="s">
        <v>15</v>
      </c>
      <c r="AA25" s="39" t="s">
        <v>15</v>
      </c>
      <c r="AB25" s="39" t="s">
        <v>15</v>
      </c>
      <c r="AC25" s="66" t="s">
        <v>15</v>
      </c>
      <c r="AD25" s="39" t="s">
        <v>15</v>
      </c>
      <c r="AE25" s="75" t="s">
        <v>15</v>
      </c>
      <c r="AF25" s="39" t="s">
        <v>15</v>
      </c>
      <c r="AG25" s="29" t="s">
        <v>16</v>
      </c>
      <c r="AH25" s="70" t="s">
        <v>16</v>
      </c>
      <c r="AI25" s="39" t="s">
        <v>15</v>
      </c>
      <c r="AJ25" s="29" t="s">
        <v>15</v>
      </c>
      <c r="AK25" s="39" t="s">
        <v>15</v>
      </c>
      <c r="AL25" s="39" t="s">
        <v>15</v>
      </c>
      <c r="AM25" s="39" t="s">
        <v>15</v>
      </c>
      <c r="AN25" s="70" t="s">
        <v>16</v>
      </c>
      <c r="AO25" s="29" t="s">
        <v>16</v>
      </c>
      <c r="AP25" s="39" t="s">
        <v>15</v>
      </c>
      <c r="AQ25" s="29" t="s">
        <v>15</v>
      </c>
      <c r="AR25" s="39" t="s">
        <v>15</v>
      </c>
      <c r="AS25" s="34">
        <f t="shared" si="2"/>
        <v>0.8</v>
      </c>
      <c r="AT25" s="39" t="s">
        <v>15</v>
      </c>
      <c r="AU25" s="29" t="s">
        <v>15</v>
      </c>
      <c r="AV25" s="29" t="s">
        <v>15</v>
      </c>
      <c r="AW25" s="29" t="s">
        <v>15</v>
      </c>
      <c r="AX25" s="39" t="s">
        <v>15</v>
      </c>
      <c r="AY25" s="39" t="s">
        <v>15</v>
      </c>
      <c r="AZ25" s="39" t="s">
        <v>15</v>
      </c>
      <c r="BA25" s="34">
        <f t="shared" si="3"/>
        <v>1</v>
      </c>
      <c r="BB25" s="29" t="s">
        <v>15</v>
      </c>
      <c r="BC25" s="29" t="s">
        <v>15</v>
      </c>
      <c r="BD25" s="29" t="s">
        <v>15</v>
      </c>
      <c r="BE25" s="29" t="s">
        <v>15</v>
      </c>
      <c r="BF25" s="39" t="s">
        <v>15</v>
      </c>
      <c r="BG25" s="29" t="s">
        <v>15</v>
      </c>
      <c r="BH25" s="39" t="s">
        <v>15</v>
      </c>
      <c r="BI25" s="73" t="s">
        <v>16</v>
      </c>
      <c r="BJ25" s="65" t="s">
        <v>15</v>
      </c>
      <c r="BK25" s="75" t="s">
        <v>15</v>
      </c>
      <c r="BL25" s="75" t="s">
        <v>15</v>
      </c>
      <c r="BM25" s="75" t="s">
        <v>15</v>
      </c>
      <c r="BN25" s="75" t="s">
        <v>15</v>
      </c>
      <c r="BO25" s="75" t="s">
        <v>15</v>
      </c>
      <c r="BP25" s="75" t="s">
        <v>15</v>
      </c>
      <c r="BQ25" s="75" t="s">
        <v>15</v>
      </c>
      <c r="BR25" s="75" t="s">
        <v>15</v>
      </c>
      <c r="BS25" s="29" t="s">
        <v>16</v>
      </c>
      <c r="BT25" s="29" t="s">
        <v>15</v>
      </c>
      <c r="BU25" s="65" t="s">
        <v>15</v>
      </c>
      <c r="BV25" s="51" t="s">
        <v>16</v>
      </c>
      <c r="BW25" s="65" t="s">
        <v>15</v>
      </c>
      <c r="BX25" s="22">
        <f t="shared" si="4"/>
        <v>0.8636363636</v>
      </c>
    </row>
    <row r="26">
      <c r="A26" s="24">
        <v>22.0</v>
      </c>
      <c r="B26" s="46"/>
      <c r="C26" s="79"/>
      <c r="D26" s="59" t="s">
        <v>15</v>
      </c>
      <c r="E26" s="59" t="s">
        <v>15</v>
      </c>
      <c r="F26" s="59" t="s">
        <v>15</v>
      </c>
      <c r="G26" s="59" t="s">
        <v>15</v>
      </c>
      <c r="H26" s="59" t="s">
        <v>16</v>
      </c>
      <c r="I26" s="59" t="s">
        <v>16</v>
      </c>
      <c r="J26" s="39" t="s">
        <v>15</v>
      </c>
      <c r="K26" s="39" t="s">
        <v>15</v>
      </c>
      <c r="L26" s="59" t="s">
        <v>15</v>
      </c>
      <c r="M26" s="59" t="s">
        <v>15</v>
      </c>
      <c r="N26" s="70" t="s">
        <v>16</v>
      </c>
      <c r="O26" s="70" t="s">
        <v>16</v>
      </c>
      <c r="P26" s="61" t="s">
        <v>15</v>
      </c>
      <c r="Q26" s="59" t="s">
        <v>15</v>
      </c>
      <c r="R26" s="61" t="s">
        <v>15</v>
      </c>
      <c r="S26" s="59" t="s">
        <v>15</v>
      </c>
      <c r="T26" s="59" t="s">
        <v>15</v>
      </c>
      <c r="U26" s="39" t="s">
        <v>15</v>
      </c>
      <c r="V26" s="59" t="s">
        <v>15</v>
      </c>
      <c r="W26" s="59" t="s">
        <v>16</v>
      </c>
      <c r="X26" s="34">
        <f t="shared" si="1"/>
        <v>0.75</v>
      </c>
      <c r="Y26" s="59" t="s">
        <v>15</v>
      </c>
      <c r="Z26" s="59" t="s">
        <v>15</v>
      </c>
      <c r="AA26" s="70" t="s">
        <v>16</v>
      </c>
      <c r="AB26" s="39" t="s">
        <v>15</v>
      </c>
      <c r="AC26" s="29" t="s">
        <v>16</v>
      </c>
      <c r="AD26" s="39" t="s">
        <v>15</v>
      </c>
      <c r="AE26" s="70" t="s">
        <v>16</v>
      </c>
      <c r="AF26" s="39" t="s">
        <v>15</v>
      </c>
      <c r="AG26" s="29" t="s">
        <v>16</v>
      </c>
      <c r="AH26" s="70" t="s">
        <v>16</v>
      </c>
      <c r="AI26" s="70" t="s">
        <v>16</v>
      </c>
      <c r="AJ26" s="29" t="s">
        <v>16</v>
      </c>
      <c r="AK26" s="70" t="s">
        <v>16</v>
      </c>
      <c r="AL26" s="39" t="s">
        <v>15</v>
      </c>
      <c r="AM26" s="29" t="s">
        <v>16</v>
      </c>
      <c r="AN26" s="70" t="s">
        <v>16</v>
      </c>
      <c r="AO26" s="29" t="s">
        <v>16</v>
      </c>
      <c r="AP26" s="70" t="s">
        <v>16</v>
      </c>
      <c r="AQ26" s="29" t="s">
        <v>15</v>
      </c>
      <c r="AR26" s="70" t="s">
        <v>16</v>
      </c>
      <c r="AS26" s="34">
        <f t="shared" si="2"/>
        <v>0.35</v>
      </c>
      <c r="AT26" s="39" t="s">
        <v>15</v>
      </c>
      <c r="AU26" s="29" t="s">
        <v>15</v>
      </c>
      <c r="AV26" s="29" t="s">
        <v>15</v>
      </c>
      <c r="AW26" s="29" t="s">
        <v>16</v>
      </c>
      <c r="AX26" s="39" t="s">
        <v>15</v>
      </c>
      <c r="AY26" s="39" t="s">
        <v>15</v>
      </c>
      <c r="AZ26" s="66" t="s">
        <v>16</v>
      </c>
      <c r="BA26" s="34">
        <f t="shared" si="3"/>
        <v>0.7142857143</v>
      </c>
      <c r="BB26" s="32" t="s">
        <v>16</v>
      </c>
      <c r="BC26" s="32" t="s">
        <v>15</v>
      </c>
      <c r="BD26" s="32" t="s">
        <v>16</v>
      </c>
      <c r="BE26" s="29" t="s">
        <v>16</v>
      </c>
      <c r="BF26" s="39" t="s">
        <v>15</v>
      </c>
      <c r="BG26" s="32" t="s">
        <v>16</v>
      </c>
      <c r="BH26" s="70" t="s">
        <v>16</v>
      </c>
      <c r="BI26" s="73" t="s">
        <v>16</v>
      </c>
      <c r="BJ26" s="51" t="s">
        <v>16</v>
      </c>
      <c r="BK26" s="73" t="s">
        <v>16</v>
      </c>
      <c r="BL26" s="73" t="s">
        <v>16</v>
      </c>
      <c r="BM26" s="75" t="s">
        <v>15</v>
      </c>
      <c r="BN26" s="102" t="s">
        <v>15</v>
      </c>
      <c r="BO26" s="73" t="s">
        <v>16</v>
      </c>
      <c r="BP26" s="51" t="s">
        <v>16</v>
      </c>
      <c r="BQ26" s="29" t="s">
        <v>16</v>
      </c>
      <c r="BR26" s="75" t="s">
        <v>15</v>
      </c>
      <c r="BS26" s="29" t="s">
        <v>16</v>
      </c>
      <c r="BT26" s="29" t="s">
        <v>15</v>
      </c>
      <c r="BU26" s="65" t="s">
        <v>15</v>
      </c>
      <c r="BV26" s="51" t="s">
        <v>16</v>
      </c>
      <c r="BW26" s="51" t="s">
        <v>16</v>
      </c>
      <c r="BX26" s="22">
        <f t="shared" si="4"/>
        <v>0.3181818182</v>
      </c>
    </row>
    <row r="27">
      <c r="A27" s="24">
        <v>23.0</v>
      </c>
      <c r="B27" s="35"/>
      <c r="C27" s="79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18</v>
      </c>
      <c r="V27" s="32"/>
      <c r="W27" s="32"/>
      <c r="X27" s="32" t="str">
        <f t="shared" si="1"/>
        <v>0,00%</v>
      </c>
      <c r="Y27" s="32"/>
      <c r="Z27" s="32"/>
      <c r="AA27" s="42" t="s">
        <v>18</v>
      </c>
      <c r="AB27" s="42" t="s">
        <v>18</v>
      </c>
      <c r="AC27" s="32"/>
      <c r="AD27" s="42" t="s">
        <v>18</v>
      </c>
      <c r="AE27" s="32"/>
      <c r="AF27" s="42" t="s">
        <v>18</v>
      </c>
      <c r="AG27" s="32"/>
      <c r="AH27" s="32"/>
      <c r="AI27" s="42" t="s">
        <v>18</v>
      </c>
      <c r="AJ27" s="32"/>
      <c r="AK27" s="42" t="s">
        <v>18</v>
      </c>
      <c r="AL27" s="32"/>
      <c r="AM27" s="32"/>
      <c r="AN27" s="42" t="s">
        <v>18</v>
      </c>
      <c r="AO27" s="32"/>
      <c r="AP27" s="42" t="s">
        <v>18</v>
      </c>
      <c r="AQ27" s="32"/>
      <c r="AR27" s="125" t="s">
        <v>18</v>
      </c>
      <c r="AS27" s="32" t="str">
        <f t="shared" si="2"/>
        <v>0,00%</v>
      </c>
      <c r="AT27" s="42" t="s">
        <v>18</v>
      </c>
      <c r="AU27" s="32"/>
      <c r="AV27" s="32"/>
      <c r="AW27" s="32"/>
      <c r="AX27" s="42" t="s">
        <v>18</v>
      </c>
      <c r="AY27" s="32"/>
      <c r="AZ27" s="40"/>
      <c r="BA27" s="32" t="str">
        <f t="shared" si="3"/>
        <v>0,00%</v>
      </c>
      <c r="BB27" s="32"/>
      <c r="BC27" s="32"/>
      <c r="BD27" s="32"/>
      <c r="BE27" s="32"/>
      <c r="BF27" s="42" t="s">
        <v>18</v>
      </c>
      <c r="BG27" s="32"/>
      <c r="BH27" s="42" t="s">
        <v>18</v>
      </c>
      <c r="BI27" s="42" t="s">
        <v>18</v>
      </c>
      <c r="BJ27" s="74" t="s">
        <v>18</v>
      </c>
      <c r="BK27" s="42" t="s">
        <v>18</v>
      </c>
      <c r="BL27" s="42" t="s">
        <v>18</v>
      </c>
      <c r="BM27" s="42" t="s">
        <v>18</v>
      </c>
      <c r="BN27" s="42" t="s">
        <v>18</v>
      </c>
      <c r="BO27" s="32"/>
      <c r="BP27" s="75" t="s">
        <v>15</v>
      </c>
      <c r="BQ27" s="75" t="s">
        <v>15</v>
      </c>
      <c r="BR27" s="49" t="s">
        <v>18</v>
      </c>
      <c r="BS27" s="32"/>
      <c r="BT27" s="32"/>
      <c r="BU27" s="74" t="s">
        <v>18</v>
      </c>
      <c r="BV27" s="74" t="s">
        <v>18</v>
      </c>
      <c r="BW27" s="40"/>
      <c r="BX27" s="48">
        <f t="shared" si="4"/>
        <v>1</v>
      </c>
    </row>
    <row r="28">
      <c r="A28" s="24">
        <v>24.0</v>
      </c>
      <c r="B28" s="81"/>
      <c r="C28" s="126"/>
      <c r="D28" s="59" t="s">
        <v>15</v>
      </c>
      <c r="E28" s="59" t="s">
        <v>15</v>
      </c>
      <c r="F28" s="59" t="s">
        <v>16</v>
      </c>
      <c r="G28" s="59" t="s">
        <v>15</v>
      </c>
      <c r="H28" s="59" t="s">
        <v>15</v>
      </c>
      <c r="I28" s="59" t="s">
        <v>15</v>
      </c>
      <c r="J28" s="39" t="s">
        <v>15</v>
      </c>
      <c r="K28" s="39" t="s">
        <v>15</v>
      </c>
      <c r="L28" s="59" t="s">
        <v>15</v>
      </c>
      <c r="M28" s="59" t="s">
        <v>15</v>
      </c>
      <c r="N28" s="59" t="s">
        <v>15</v>
      </c>
      <c r="O28" s="61" t="s">
        <v>15</v>
      </c>
      <c r="P28" s="61" t="s">
        <v>15</v>
      </c>
      <c r="Q28" s="59" t="s">
        <v>15</v>
      </c>
      <c r="R28" s="124" t="s">
        <v>15</v>
      </c>
      <c r="S28" s="59" t="s">
        <v>15</v>
      </c>
      <c r="T28" s="59" t="s">
        <v>15</v>
      </c>
      <c r="U28" s="75" t="s">
        <v>15</v>
      </c>
      <c r="V28" s="59" t="s">
        <v>15</v>
      </c>
      <c r="W28" s="59" t="s">
        <v>15</v>
      </c>
      <c r="X28" s="34">
        <f t="shared" si="1"/>
        <v>0.95</v>
      </c>
      <c r="Y28" s="59" t="s">
        <v>15</v>
      </c>
      <c r="Z28" s="59" t="s">
        <v>16</v>
      </c>
      <c r="AA28" s="39" t="s">
        <v>15</v>
      </c>
      <c r="AB28" s="39" t="s">
        <v>15</v>
      </c>
      <c r="AC28" s="66" t="s">
        <v>15</v>
      </c>
      <c r="AD28" s="39" t="s">
        <v>15</v>
      </c>
      <c r="AE28" s="75" t="s">
        <v>15</v>
      </c>
      <c r="AF28" s="39" t="s">
        <v>15</v>
      </c>
      <c r="AG28" s="29" t="s">
        <v>15</v>
      </c>
      <c r="AH28" s="39" t="s">
        <v>15</v>
      </c>
      <c r="AI28" s="39" t="s">
        <v>15</v>
      </c>
      <c r="AJ28" s="29" t="s">
        <v>15</v>
      </c>
      <c r="AK28" s="39" t="s">
        <v>15</v>
      </c>
      <c r="AL28" s="39" t="s">
        <v>15</v>
      </c>
      <c r="AM28" s="39" t="s">
        <v>15</v>
      </c>
      <c r="AN28" s="39" t="s">
        <v>15</v>
      </c>
      <c r="AO28" s="39" t="s">
        <v>15</v>
      </c>
      <c r="AP28" s="39" t="s">
        <v>15</v>
      </c>
      <c r="AQ28" s="29" t="s">
        <v>15</v>
      </c>
      <c r="AR28" s="39" t="s">
        <v>15</v>
      </c>
      <c r="AS28" s="34">
        <f t="shared" si="2"/>
        <v>0.95</v>
      </c>
      <c r="AT28" s="39" t="s">
        <v>15</v>
      </c>
      <c r="AU28" s="29" t="s">
        <v>16</v>
      </c>
      <c r="AV28" s="29" t="s">
        <v>15</v>
      </c>
      <c r="AW28" s="29" t="s">
        <v>15</v>
      </c>
      <c r="AX28" s="39" t="s">
        <v>15</v>
      </c>
      <c r="AY28" s="39" t="s">
        <v>15</v>
      </c>
      <c r="AZ28" s="39" t="s">
        <v>15</v>
      </c>
      <c r="BA28" s="34">
        <f t="shared" si="3"/>
        <v>0.8571428571</v>
      </c>
      <c r="BB28" s="29" t="s">
        <v>15</v>
      </c>
      <c r="BC28" s="29" t="s">
        <v>15</v>
      </c>
      <c r="BD28" s="29" t="s">
        <v>15</v>
      </c>
      <c r="BE28" s="29" t="s">
        <v>15</v>
      </c>
      <c r="BF28" s="39" t="s">
        <v>15</v>
      </c>
      <c r="BG28" s="29" t="s">
        <v>15</v>
      </c>
      <c r="BH28" s="39" t="s">
        <v>15</v>
      </c>
      <c r="BI28" s="73" t="s">
        <v>16</v>
      </c>
      <c r="BJ28" s="65" t="s">
        <v>15</v>
      </c>
      <c r="BK28" s="73" t="s">
        <v>16</v>
      </c>
      <c r="BL28" s="75" t="s">
        <v>15</v>
      </c>
      <c r="BM28" s="75" t="s">
        <v>15</v>
      </c>
      <c r="BN28" s="75" t="s">
        <v>15</v>
      </c>
      <c r="BO28" s="73" t="s">
        <v>16</v>
      </c>
      <c r="BP28" s="75" t="s">
        <v>15</v>
      </c>
      <c r="BQ28" s="75" t="s">
        <v>15</v>
      </c>
      <c r="BR28" s="75" t="s">
        <v>15</v>
      </c>
      <c r="BS28" s="29" t="s">
        <v>16</v>
      </c>
      <c r="BT28" s="29" t="s">
        <v>15</v>
      </c>
      <c r="BU28" s="65" t="s">
        <v>15</v>
      </c>
      <c r="BV28" s="51" t="s">
        <v>16</v>
      </c>
      <c r="BW28" s="65" t="s">
        <v>15</v>
      </c>
      <c r="BX28" s="22">
        <f t="shared" si="4"/>
        <v>0.7727272727</v>
      </c>
    </row>
    <row r="29">
      <c r="A29" s="24">
        <v>25.0</v>
      </c>
      <c r="B29" s="81"/>
      <c r="C29" s="127"/>
      <c r="D29" s="59" t="s">
        <v>15</v>
      </c>
      <c r="E29" s="59" t="s">
        <v>15</v>
      </c>
      <c r="F29" s="59" t="s">
        <v>15</v>
      </c>
      <c r="G29" s="59" t="s">
        <v>15</v>
      </c>
      <c r="H29" s="59" t="s">
        <v>15</v>
      </c>
      <c r="I29" s="59" t="s">
        <v>16</v>
      </c>
      <c r="J29" s="39" t="s">
        <v>15</v>
      </c>
      <c r="K29" s="39" t="s">
        <v>15</v>
      </c>
      <c r="L29" s="59" t="s">
        <v>15</v>
      </c>
      <c r="M29" s="59" t="s">
        <v>15</v>
      </c>
      <c r="N29" s="59" t="s">
        <v>15</v>
      </c>
      <c r="O29" s="61" t="s">
        <v>15</v>
      </c>
      <c r="P29" s="61" t="s">
        <v>15</v>
      </c>
      <c r="Q29" s="59" t="s">
        <v>15</v>
      </c>
      <c r="R29" s="124" t="s">
        <v>15</v>
      </c>
      <c r="S29" s="59" t="s">
        <v>15</v>
      </c>
      <c r="T29" s="59" t="s">
        <v>15</v>
      </c>
      <c r="U29" s="73" t="s">
        <v>16</v>
      </c>
      <c r="V29" s="59" t="s">
        <v>15</v>
      </c>
      <c r="W29" s="59" t="s">
        <v>15</v>
      </c>
      <c r="X29" s="34">
        <f t="shared" si="1"/>
        <v>0.9</v>
      </c>
      <c r="Y29" s="59" t="s">
        <v>15</v>
      </c>
      <c r="Z29" s="59" t="s">
        <v>15</v>
      </c>
      <c r="AA29" s="39" t="s">
        <v>15</v>
      </c>
      <c r="AB29" s="39" t="s">
        <v>15</v>
      </c>
      <c r="AC29" s="29" t="s">
        <v>16</v>
      </c>
      <c r="AD29" s="39" t="s">
        <v>15</v>
      </c>
      <c r="AE29" s="75" t="s">
        <v>15</v>
      </c>
      <c r="AF29" s="39" t="s">
        <v>15</v>
      </c>
      <c r="AG29" s="29" t="s">
        <v>16</v>
      </c>
      <c r="AH29" s="39" t="s">
        <v>15</v>
      </c>
      <c r="AI29" s="39" t="s">
        <v>15</v>
      </c>
      <c r="AJ29" s="29" t="s">
        <v>15</v>
      </c>
      <c r="AK29" s="70" t="s">
        <v>16</v>
      </c>
      <c r="AL29" s="39" t="s">
        <v>15</v>
      </c>
      <c r="AM29" s="39" t="s">
        <v>15</v>
      </c>
      <c r="AN29" s="39" t="s">
        <v>15</v>
      </c>
      <c r="AO29" s="39" t="s">
        <v>15</v>
      </c>
      <c r="AP29" s="39" t="s">
        <v>15</v>
      </c>
      <c r="AQ29" s="29" t="s">
        <v>15</v>
      </c>
      <c r="AR29" s="70" t="s">
        <v>16</v>
      </c>
      <c r="AS29" s="34">
        <f t="shared" si="2"/>
        <v>0.8</v>
      </c>
      <c r="AT29" s="70" t="s">
        <v>16</v>
      </c>
      <c r="AU29" s="29" t="s">
        <v>16</v>
      </c>
      <c r="AV29" s="29" t="s">
        <v>15</v>
      </c>
      <c r="AW29" s="29" t="s">
        <v>16</v>
      </c>
      <c r="AX29" s="39" t="s">
        <v>15</v>
      </c>
      <c r="AY29" s="39" t="s">
        <v>15</v>
      </c>
      <c r="AZ29" s="66" t="s">
        <v>16</v>
      </c>
      <c r="BA29" s="34">
        <f t="shared" si="3"/>
        <v>0.4285714286</v>
      </c>
      <c r="BB29" s="29" t="s">
        <v>15</v>
      </c>
      <c r="BC29" s="29" t="s">
        <v>15</v>
      </c>
      <c r="BD29" s="29" t="s">
        <v>15</v>
      </c>
      <c r="BE29" s="29" t="s">
        <v>15</v>
      </c>
      <c r="BF29" s="39" t="s">
        <v>15</v>
      </c>
      <c r="BG29" s="29" t="s">
        <v>15</v>
      </c>
      <c r="BH29" s="39" t="s">
        <v>15</v>
      </c>
      <c r="BI29" s="73" t="s">
        <v>16</v>
      </c>
      <c r="BJ29" s="65" t="s">
        <v>15</v>
      </c>
      <c r="BK29" s="73" t="s">
        <v>16</v>
      </c>
      <c r="BL29" s="73" t="s">
        <v>16</v>
      </c>
      <c r="BM29" s="73" t="s">
        <v>16</v>
      </c>
      <c r="BN29" s="75" t="s">
        <v>15</v>
      </c>
      <c r="BO29" s="75" t="s">
        <v>15</v>
      </c>
      <c r="BP29" s="75" t="s">
        <v>15</v>
      </c>
      <c r="BQ29" s="75" t="s">
        <v>15</v>
      </c>
      <c r="BR29" s="75" t="s">
        <v>15</v>
      </c>
      <c r="BS29" s="29" t="s">
        <v>15</v>
      </c>
      <c r="BT29" s="29" t="s">
        <v>15</v>
      </c>
      <c r="BU29" s="51" t="s">
        <v>16</v>
      </c>
      <c r="BV29" s="51" t="s">
        <v>16</v>
      </c>
      <c r="BW29" s="51" t="s">
        <v>16</v>
      </c>
      <c r="BX29" s="22">
        <f t="shared" si="4"/>
        <v>0.6818181818</v>
      </c>
    </row>
    <row r="30">
      <c r="A30" s="24">
        <v>26.0</v>
      </c>
      <c r="B30" s="62"/>
      <c r="C30" s="126"/>
      <c r="D30" s="59" t="s">
        <v>15</v>
      </c>
      <c r="E30" s="59" t="s">
        <v>15</v>
      </c>
      <c r="F30" s="59" t="s">
        <v>15</v>
      </c>
      <c r="G30" s="59" t="s">
        <v>15</v>
      </c>
      <c r="H30" s="59" t="s">
        <v>16</v>
      </c>
      <c r="I30" s="59" t="s">
        <v>15</v>
      </c>
      <c r="J30" s="39" t="s">
        <v>15</v>
      </c>
      <c r="K30" s="70" t="s">
        <v>16</v>
      </c>
      <c r="L30" s="59" t="s">
        <v>15</v>
      </c>
      <c r="M30" s="59" t="s">
        <v>15</v>
      </c>
      <c r="N30" s="59" t="s">
        <v>15</v>
      </c>
      <c r="O30" s="61" t="s">
        <v>15</v>
      </c>
      <c r="P30" s="61" t="s">
        <v>15</v>
      </c>
      <c r="Q30" s="59" t="s">
        <v>16</v>
      </c>
      <c r="R30" s="61" t="s">
        <v>15</v>
      </c>
      <c r="S30" s="59" t="s">
        <v>16</v>
      </c>
      <c r="T30" s="59" t="s">
        <v>15</v>
      </c>
      <c r="U30" s="39" t="s">
        <v>15</v>
      </c>
      <c r="V30" s="59" t="s">
        <v>15</v>
      </c>
      <c r="W30" s="59" t="s">
        <v>15</v>
      </c>
      <c r="X30" s="34">
        <f t="shared" si="1"/>
        <v>0.8</v>
      </c>
      <c r="Y30" s="59" t="s">
        <v>15</v>
      </c>
      <c r="Z30" s="59" t="s">
        <v>15</v>
      </c>
      <c r="AA30" s="70" t="s">
        <v>16</v>
      </c>
      <c r="AB30" s="70" t="s">
        <v>16</v>
      </c>
      <c r="AC30" s="66" t="s">
        <v>15</v>
      </c>
      <c r="AD30" s="39" t="s">
        <v>15</v>
      </c>
      <c r="AE30" s="75" t="s">
        <v>15</v>
      </c>
      <c r="AF30" s="39" t="s">
        <v>15</v>
      </c>
      <c r="AG30" s="29" t="s">
        <v>16</v>
      </c>
      <c r="AH30" s="39" t="s">
        <v>15</v>
      </c>
      <c r="AI30" s="39" t="s">
        <v>15</v>
      </c>
      <c r="AJ30" s="29" t="s">
        <v>15</v>
      </c>
      <c r="AK30" s="39" t="s">
        <v>15</v>
      </c>
      <c r="AL30" s="29" t="s">
        <v>16</v>
      </c>
      <c r="AM30" s="39" t="s">
        <v>15</v>
      </c>
      <c r="AN30" s="70" t="s">
        <v>16</v>
      </c>
      <c r="AO30" s="39" t="s">
        <v>15</v>
      </c>
      <c r="AP30" s="39" t="s">
        <v>15</v>
      </c>
      <c r="AQ30" s="29" t="s">
        <v>15</v>
      </c>
      <c r="AR30" s="70" t="s">
        <v>16</v>
      </c>
      <c r="AS30" s="34">
        <f t="shared" si="2"/>
        <v>0.7</v>
      </c>
      <c r="AT30" s="39" t="s">
        <v>15</v>
      </c>
      <c r="AU30" s="29" t="s">
        <v>16</v>
      </c>
      <c r="AV30" s="29" t="s">
        <v>15</v>
      </c>
      <c r="AW30" s="29" t="s">
        <v>15</v>
      </c>
      <c r="AX30" s="39" t="s">
        <v>15</v>
      </c>
      <c r="AY30" s="39" t="s">
        <v>15</v>
      </c>
      <c r="AZ30" s="39" t="s">
        <v>15</v>
      </c>
      <c r="BA30" s="34">
        <f t="shared" si="3"/>
        <v>0.8571428571</v>
      </c>
      <c r="BB30" s="29" t="s">
        <v>16</v>
      </c>
      <c r="BC30" s="29" t="s">
        <v>15</v>
      </c>
      <c r="BD30" s="29" t="s">
        <v>15</v>
      </c>
      <c r="BE30" s="29" t="s">
        <v>15</v>
      </c>
      <c r="BF30" s="39" t="s">
        <v>15</v>
      </c>
      <c r="BG30" s="32" t="s">
        <v>16</v>
      </c>
      <c r="BH30" s="39" t="s">
        <v>15</v>
      </c>
      <c r="BI30" s="39" t="s">
        <v>15</v>
      </c>
      <c r="BJ30" s="51" t="s">
        <v>16</v>
      </c>
      <c r="BK30" s="75" t="s">
        <v>15</v>
      </c>
      <c r="BL30" s="75" t="s">
        <v>15</v>
      </c>
      <c r="BM30" s="73" t="s">
        <v>16</v>
      </c>
      <c r="BN30" s="75" t="s">
        <v>15</v>
      </c>
      <c r="BO30" s="75" t="s">
        <v>15</v>
      </c>
      <c r="BP30" s="75" t="s">
        <v>15</v>
      </c>
      <c r="BQ30" s="75" t="s">
        <v>15</v>
      </c>
      <c r="BR30" s="75" t="s">
        <v>15</v>
      </c>
      <c r="BS30" s="29" t="s">
        <v>15</v>
      </c>
      <c r="BT30" s="29" t="s">
        <v>15</v>
      </c>
      <c r="BU30" s="65" t="s">
        <v>15</v>
      </c>
      <c r="BV30" s="51" t="s">
        <v>16</v>
      </c>
      <c r="BW30" s="51" t="s">
        <v>16</v>
      </c>
      <c r="BX30" s="22">
        <f t="shared" si="4"/>
        <v>0.7272727273</v>
      </c>
    </row>
    <row r="31">
      <c r="A31" s="16">
        <v>27.0</v>
      </c>
      <c r="B31" s="62"/>
      <c r="C31" s="112"/>
      <c r="D31" s="59" t="s">
        <v>15</v>
      </c>
      <c r="E31" s="59" t="s">
        <v>15</v>
      </c>
      <c r="F31" s="59" t="s">
        <v>15</v>
      </c>
      <c r="G31" s="59" t="s">
        <v>15</v>
      </c>
      <c r="H31" s="59" t="s">
        <v>15</v>
      </c>
      <c r="I31" s="59" t="s">
        <v>16</v>
      </c>
      <c r="J31" s="39" t="s">
        <v>15</v>
      </c>
      <c r="K31" s="39" t="s">
        <v>15</v>
      </c>
      <c r="L31" s="59" t="s">
        <v>15</v>
      </c>
      <c r="M31" s="59" t="s">
        <v>15</v>
      </c>
      <c r="N31" s="59" t="s">
        <v>15</v>
      </c>
      <c r="O31" s="124" t="s">
        <v>15</v>
      </c>
      <c r="P31" s="124" t="s">
        <v>15</v>
      </c>
      <c r="Q31" s="59" t="s">
        <v>15</v>
      </c>
      <c r="R31" s="124" t="s">
        <v>15</v>
      </c>
      <c r="S31" s="59" t="s">
        <v>16</v>
      </c>
      <c r="T31" s="59" t="s">
        <v>15</v>
      </c>
      <c r="U31" s="73" t="s">
        <v>16</v>
      </c>
      <c r="V31" s="59" t="s">
        <v>15</v>
      </c>
      <c r="W31" s="59" t="s">
        <v>15</v>
      </c>
      <c r="X31" s="34">
        <f t="shared" si="1"/>
        <v>0.85</v>
      </c>
      <c r="Y31" s="59" t="s">
        <v>15</v>
      </c>
      <c r="Z31" s="59" t="s">
        <v>15</v>
      </c>
      <c r="AA31" s="75" t="s">
        <v>15</v>
      </c>
      <c r="AB31" s="75" t="s">
        <v>15</v>
      </c>
      <c r="AC31" s="66" t="s">
        <v>15</v>
      </c>
      <c r="AD31" s="75" t="s">
        <v>15</v>
      </c>
      <c r="AE31" s="75" t="s">
        <v>15</v>
      </c>
      <c r="AF31" s="75" t="s">
        <v>15</v>
      </c>
      <c r="AG31" s="29" t="s">
        <v>16</v>
      </c>
      <c r="AH31" s="39" t="s">
        <v>15</v>
      </c>
      <c r="AI31" s="75" t="s">
        <v>15</v>
      </c>
      <c r="AJ31" s="29" t="s">
        <v>15</v>
      </c>
      <c r="AK31" s="75" t="s">
        <v>15</v>
      </c>
      <c r="AL31" s="39" t="s">
        <v>15</v>
      </c>
      <c r="AM31" s="39" t="s">
        <v>15</v>
      </c>
      <c r="AN31" s="75" t="s">
        <v>15</v>
      </c>
      <c r="AO31" s="39" t="s">
        <v>15</v>
      </c>
      <c r="AP31" s="75" t="s">
        <v>15</v>
      </c>
      <c r="AQ31" s="29" t="s">
        <v>15</v>
      </c>
      <c r="AR31" s="75" t="s">
        <v>15</v>
      </c>
      <c r="AS31" s="34">
        <f t="shared" si="2"/>
        <v>0.95</v>
      </c>
      <c r="AT31" s="75" t="s">
        <v>15</v>
      </c>
      <c r="AU31" s="29" t="s">
        <v>16</v>
      </c>
      <c r="AV31" s="29" t="s">
        <v>15</v>
      </c>
      <c r="AW31" s="29" t="s">
        <v>15</v>
      </c>
      <c r="AX31" s="75" t="s">
        <v>15</v>
      </c>
      <c r="AY31" s="39" t="s">
        <v>15</v>
      </c>
      <c r="AZ31" s="39" t="s">
        <v>15</v>
      </c>
      <c r="BA31" s="34">
        <f t="shared" si="3"/>
        <v>0.8571428571</v>
      </c>
      <c r="BB31" s="29" t="s">
        <v>15</v>
      </c>
      <c r="BC31" s="29" t="s">
        <v>15</v>
      </c>
      <c r="BD31" s="29" t="s">
        <v>15</v>
      </c>
      <c r="BE31" s="29" t="s">
        <v>15</v>
      </c>
      <c r="BF31" s="75" t="s">
        <v>15</v>
      </c>
      <c r="BG31" s="29" t="s">
        <v>15</v>
      </c>
      <c r="BH31" s="75" t="s">
        <v>15</v>
      </c>
      <c r="BI31" s="73" t="s">
        <v>16</v>
      </c>
      <c r="BJ31" s="65" t="s">
        <v>15</v>
      </c>
      <c r="BK31" s="73" t="s">
        <v>16</v>
      </c>
      <c r="BL31" s="75" t="s">
        <v>15</v>
      </c>
      <c r="BM31" s="75" t="s">
        <v>15</v>
      </c>
      <c r="BN31" s="75" t="s">
        <v>15</v>
      </c>
      <c r="BO31" s="75" t="s">
        <v>15</v>
      </c>
      <c r="BP31" s="75" t="s">
        <v>15</v>
      </c>
      <c r="BQ31" s="75" t="s">
        <v>15</v>
      </c>
      <c r="BR31" s="128" t="s">
        <v>16</v>
      </c>
      <c r="BS31" s="29" t="s">
        <v>16</v>
      </c>
      <c r="BT31" s="29" t="s">
        <v>15</v>
      </c>
      <c r="BU31" s="65" t="s">
        <v>15</v>
      </c>
      <c r="BV31" s="65" t="s">
        <v>15</v>
      </c>
      <c r="BW31" s="65" t="s">
        <v>15</v>
      </c>
      <c r="BX31" s="22">
        <f t="shared" si="4"/>
        <v>0.8181818182</v>
      </c>
    </row>
    <row r="32">
      <c r="A32" s="16">
        <v>28.0</v>
      </c>
      <c r="B32" s="129"/>
      <c r="C32" s="112"/>
      <c r="D32" s="32" t="s">
        <v>20</v>
      </c>
      <c r="E32" s="32" t="s">
        <v>20</v>
      </c>
      <c r="F32" s="59" t="s">
        <v>15</v>
      </c>
      <c r="G32" s="59" t="s">
        <v>15</v>
      </c>
      <c r="H32" s="59" t="s">
        <v>15</v>
      </c>
      <c r="I32" s="59" t="s">
        <v>16</v>
      </c>
      <c r="J32" s="39" t="s">
        <v>15</v>
      </c>
      <c r="K32" s="39" t="s">
        <v>15</v>
      </c>
      <c r="L32" s="59" t="s">
        <v>15</v>
      </c>
      <c r="M32" s="59" t="s">
        <v>15</v>
      </c>
      <c r="N32" s="59" t="s">
        <v>15</v>
      </c>
      <c r="O32" s="124" t="s">
        <v>15</v>
      </c>
      <c r="P32" s="124" t="s">
        <v>15</v>
      </c>
      <c r="Q32" s="59" t="s">
        <v>15</v>
      </c>
      <c r="R32" s="124" t="s">
        <v>15</v>
      </c>
      <c r="S32" s="59" t="s">
        <v>15</v>
      </c>
      <c r="T32" s="59" t="s">
        <v>15</v>
      </c>
      <c r="U32" s="75" t="s">
        <v>15</v>
      </c>
      <c r="V32" s="59" t="s">
        <v>15</v>
      </c>
      <c r="W32" s="59" t="s">
        <v>15</v>
      </c>
      <c r="X32" s="34">
        <f t="shared" si="1"/>
        <v>0.9444444444</v>
      </c>
      <c r="Y32" s="59" t="s">
        <v>15</v>
      </c>
      <c r="Z32" s="59" t="s">
        <v>15</v>
      </c>
      <c r="AA32" s="73" t="s">
        <v>16</v>
      </c>
      <c r="AB32" s="75" t="s">
        <v>15</v>
      </c>
      <c r="AC32" s="66" t="s">
        <v>15</v>
      </c>
      <c r="AD32" s="75" t="s">
        <v>15</v>
      </c>
      <c r="AE32" s="75" t="s">
        <v>15</v>
      </c>
      <c r="AF32" s="75" t="s">
        <v>15</v>
      </c>
      <c r="AG32" s="29" t="s">
        <v>16</v>
      </c>
      <c r="AH32" s="39" t="s">
        <v>15</v>
      </c>
      <c r="AI32" s="75" t="s">
        <v>15</v>
      </c>
      <c r="AJ32" s="29" t="s">
        <v>15</v>
      </c>
      <c r="AK32" s="75" t="s">
        <v>15</v>
      </c>
      <c r="AL32" s="39" t="s">
        <v>15</v>
      </c>
      <c r="AM32" s="39" t="s">
        <v>15</v>
      </c>
      <c r="AN32" s="73" t="s">
        <v>16</v>
      </c>
      <c r="AO32" s="29" t="s">
        <v>16</v>
      </c>
      <c r="AP32" s="75" t="s">
        <v>15</v>
      </c>
      <c r="AQ32" s="29" t="s">
        <v>15</v>
      </c>
      <c r="AR32" s="75" t="s">
        <v>15</v>
      </c>
      <c r="AS32" s="34">
        <f t="shared" si="2"/>
        <v>0.8</v>
      </c>
      <c r="AT32" s="73" t="s">
        <v>16</v>
      </c>
      <c r="AU32" s="29" t="s">
        <v>15</v>
      </c>
      <c r="AV32" s="29" t="s">
        <v>15</v>
      </c>
      <c r="AW32" s="29" t="s">
        <v>16</v>
      </c>
      <c r="AX32" s="73" t="s">
        <v>16</v>
      </c>
      <c r="AY32" s="39" t="s">
        <v>15</v>
      </c>
      <c r="AZ32" s="66" t="s">
        <v>16</v>
      </c>
      <c r="BA32" s="34">
        <f t="shared" si="3"/>
        <v>0.4285714286</v>
      </c>
      <c r="BB32" s="75" t="s">
        <v>15</v>
      </c>
      <c r="BC32" s="75" t="s">
        <v>15</v>
      </c>
      <c r="BD32" s="75" t="s">
        <v>15</v>
      </c>
      <c r="BE32" s="29" t="s">
        <v>15</v>
      </c>
      <c r="BF32" s="75" t="s">
        <v>15</v>
      </c>
      <c r="BG32" s="29" t="s">
        <v>15</v>
      </c>
      <c r="BH32" s="75" t="s">
        <v>15</v>
      </c>
      <c r="BI32" s="75" t="s">
        <v>15</v>
      </c>
      <c r="BJ32" s="65" t="s">
        <v>15</v>
      </c>
      <c r="BK32" s="75" t="s">
        <v>15</v>
      </c>
      <c r="BL32" s="75" t="s">
        <v>15</v>
      </c>
      <c r="BM32" s="75" t="s">
        <v>15</v>
      </c>
      <c r="BN32" s="75" t="s">
        <v>15</v>
      </c>
      <c r="BO32" s="75" t="s">
        <v>15</v>
      </c>
      <c r="BP32" s="75" t="s">
        <v>15</v>
      </c>
      <c r="BQ32" s="75" t="s">
        <v>15</v>
      </c>
      <c r="BR32" s="75" t="s">
        <v>15</v>
      </c>
      <c r="BS32" s="29" t="s">
        <v>15</v>
      </c>
      <c r="BT32" s="29" t="s">
        <v>15</v>
      </c>
      <c r="BU32" s="65" t="s">
        <v>15</v>
      </c>
      <c r="BV32" s="65" t="s">
        <v>15</v>
      </c>
      <c r="BW32" s="65" t="s">
        <v>15</v>
      </c>
      <c r="BX32" s="22">
        <f t="shared" si="4"/>
        <v>1</v>
      </c>
    </row>
    <row r="33">
      <c r="A33" s="100">
        <v>29.0</v>
      </c>
      <c r="B33" s="25"/>
      <c r="C33" s="87" t="s">
        <v>39</v>
      </c>
      <c r="D33" s="32" t="s">
        <v>20</v>
      </c>
      <c r="E33" s="32" t="s">
        <v>20</v>
      </c>
      <c r="F33" s="32" t="s">
        <v>20</v>
      </c>
      <c r="G33" s="32" t="s">
        <v>20</v>
      </c>
      <c r="H33" s="32" t="s">
        <v>20</v>
      </c>
      <c r="I33" s="32" t="s">
        <v>20</v>
      </c>
      <c r="J33" s="32" t="s">
        <v>20</v>
      </c>
      <c r="K33" s="32" t="s">
        <v>20</v>
      </c>
      <c r="L33" s="32" t="s">
        <v>20</v>
      </c>
      <c r="M33" s="32" t="s">
        <v>20</v>
      </c>
      <c r="N33" s="32" t="s">
        <v>20</v>
      </c>
      <c r="O33" s="32" t="s">
        <v>20</v>
      </c>
      <c r="P33" s="32" t="s">
        <v>20</v>
      </c>
      <c r="Q33" s="32" t="s">
        <v>20</v>
      </c>
      <c r="R33" s="32" t="s">
        <v>20</v>
      </c>
      <c r="S33" s="32" t="s">
        <v>20</v>
      </c>
      <c r="T33" s="32" t="s">
        <v>20</v>
      </c>
      <c r="U33" s="32" t="s">
        <v>20</v>
      </c>
      <c r="V33" s="32" t="s">
        <v>20</v>
      </c>
      <c r="W33" s="32" t="s">
        <v>20</v>
      </c>
      <c r="X33" s="130" t="str">
        <f t="shared" si="1"/>
        <v>0,00%</v>
      </c>
      <c r="Y33" s="32" t="s">
        <v>20</v>
      </c>
      <c r="Z33" s="32" t="s">
        <v>20</v>
      </c>
      <c r="AA33" s="32" t="s">
        <v>20</v>
      </c>
      <c r="AB33" s="32" t="s">
        <v>20</v>
      </c>
      <c r="AC33" s="32" t="s">
        <v>20</v>
      </c>
      <c r="AD33" s="32" t="s">
        <v>20</v>
      </c>
      <c r="AE33" s="32" t="s">
        <v>20</v>
      </c>
      <c r="AF33" s="32" t="s">
        <v>20</v>
      </c>
      <c r="AG33" s="32" t="s">
        <v>20</v>
      </c>
      <c r="AH33" s="32" t="s">
        <v>20</v>
      </c>
      <c r="AI33" s="32" t="s">
        <v>20</v>
      </c>
      <c r="AJ33" s="32" t="s">
        <v>20</v>
      </c>
      <c r="AK33" s="32" t="s">
        <v>20</v>
      </c>
      <c r="AL33" s="32" t="s">
        <v>20</v>
      </c>
      <c r="AM33" s="32" t="s">
        <v>20</v>
      </c>
      <c r="AN33" s="32" t="s">
        <v>20</v>
      </c>
      <c r="AO33" s="32" t="s">
        <v>20</v>
      </c>
      <c r="AP33" s="32" t="s">
        <v>20</v>
      </c>
      <c r="AQ33" s="32" t="s">
        <v>20</v>
      </c>
      <c r="AR33" s="32" t="s">
        <v>20</v>
      </c>
      <c r="AS33" s="130" t="str">
        <f t="shared" si="2"/>
        <v>0,00%</v>
      </c>
      <c r="AT33" s="32" t="s">
        <v>20</v>
      </c>
      <c r="AU33" s="32" t="s">
        <v>20</v>
      </c>
      <c r="AV33" s="32" t="s">
        <v>20</v>
      </c>
      <c r="AW33" s="32" t="s">
        <v>20</v>
      </c>
      <c r="AX33" s="32" t="s">
        <v>20</v>
      </c>
      <c r="AY33" s="32" t="s">
        <v>20</v>
      </c>
      <c r="AZ33" s="32" t="s">
        <v>20</v>
      </c>
      <c r="BA33" s="130" t="str">
        <f t="shared" si="3"/>
        <v>0,00%</v>
      </c>
      <c r="BB33" s="32" t="s">
        <v>20</v>
      </c>
      <c r="BC33" s="32" t="s">
        <v>20</v>
      </c>
      <c r="BD33" s="32" t="s">
        <v>20</v>
      </c>
      <c r="BE33" s="32" t="s">
        <v>20</v>
      </c>
      <c r="BF33" s="32" t="s">
        <v>20</v>
      </c>
      <c r="BG33" s="32" t="s">
        <v>20</v>
      </c>
      <c r="BH33" s="32" t="s">
        <v>20</v>
      </c>
      <c r="BI33" s="32" t="s">
        <v>20</v>
      </c>
      <c r="BJ33" s="32" t="s">
        <v>20</v>
      </c>
      <c r="BK33" s="32" t="s">
        <v>20</v>
      </c>
      <c r="BL33" s="32" t="s">
        <v>20</v>
      </c>
      <c r="BM33" s="32" t="s">
        <v>20</v>
      </c>
      <c r="BN33" s="32" t="s">
        <v>20</v>
      </c>
      <c r="BO33" s="32" t="s">
        <v>20</v>
      </c>
      <c r="BP33" s="32" t="s">
        <v>20</v>
      </c>
      <c r="BQ33" s="131"/>
      <c r="BR33" s="131"/>
      <c r="BS33" s="69" t="s">
        <v>15</v>
      </c>
      <c r="BT33" s="29" t="s">
        <v>15</v>
      </c>
      <c r="BU33" s="51" t="s">
        <v>16</v>
      </c>
      <c r="BV33" s="51" t="s">
        <v>16</v>
      </c>
      <c r="BW33" s="51" t="s">
        <v>16</v>
      </c>
      <c r="BX33" s="130">
        <f t="shared" si="4"/>
        <v>0.4</v>
      </c>
      <c r="BY33" s="132"/>
      <c r="BZ33" s="132"/>
      <c r="CA33" s="132"/>
      <c r="CB33" s="132"/>
      <c r="CC33" s="132"/>
      <c r="CD33" s="132"/>
      <c r="CE33" s="132"/>
      <c r="CF33" s="132"/>
      <c r="CG33" s="132"/>
      <c r="CH33" s="132"/>
      <c r="CI33" s="132"/>
      <c r="CJ33" s="132"/>
      <c r="CK33" s="132"/>
      <c r="CL33" s="132"/>
      <c r="CM33" s="132"/>
      <c r="CN33" s="132"/>
      <c r="CO33" s="132"/>
      <c r="CP33" s="132"/>
      <c r="CQ33" s="132"/>
    </row>
    <row r="34">
      <c r="A34" s="100">
        <v>30.0</v>
      </c>
      <c r="B34" s="81"/>
      <c r="C34" s="87" t="s">
        <v>40</v>
      </c>
      <c r="D34" s="32" t="s">
        <v>20</v>
      </c>
      <c r="E34" s="32" t="s">
        <v>20</v>
      </c>
      <c r="F34" s="32" t="s">
        <v>20</v>
      </c>
      <c r="G34" s="32" t="s">
        <v>20</v>
      </c>
      <c r="H34" s="32" t="s">
        <v>20</v>
      </c>
      <c r="I34" s="32" t="s">
        <v>20</v>
      </c>
      <c r="J34" s="32" t="s">
        <v>20</v>
      </c>
      <c r="K34" s="32" t="s">
        <v>20</v>
      </c>
      <c r="L34" s="32" t="s">
        <v>20</v>
      </c>
      <c r="M34" s="32" t="s">
        <v>20</v>
      </c>
      <c r="N34" s="32" t="s">
        <v>20</v>
      </c>
      <c r="O34" s="32" t="s">
        <v>20</v>
      </c>
      <c r="P34" s="32" t="s">
        <v>20</v>
      </c>
      <c r="Q34" s="32" t="s">
        <v>20</v>
      </c>
      <c r="R34" s="32" t="s">
        <v>20</v>
      </c>
      <c r="S34" s="32" t="s">
        <v>20</v>
      </c>
      <c r="T34" s="32" t="s">
        <v>20</v>
      </c>
      <c r="U34" s="32" t="s">
        <v>20</v>
      </c>
      <c r="V34" s="32" t="s">
        <v>20</v>
      </c>
      <c r="W34" s="32" t="s">
        <v>20</v>
      </c>
      <c r="X34" s="130" t="str">
        <f t="shared" si="1"/>
        <v>0,00%</v>
      </c>
      <c r="Y34" s="32" t="s">
        <v>20</v>
      </c>
      <c r="Z34" s="32" t="s">
        <v>20</v>
      </c>
      <c r="AA34" s="32" t="s">
        <v>20</v>
      </c>
      <c r="AB34" s="32" t="s">
        <v>20</v>
      </c>
      <c r="AC34" s="32" t="s">
        <v>20</v>
      </c>
      <c r="AD34" s="32" t="s">
        <v>20</v>
      </c>
      <c r="AE34" s="32" t="s">
        <v>20</v>
      </c>
      <c r="AF34" s="32" t="s">
        <v>20</v>
      </c>
      <c r="AG34" s="32" t="s">
        <v>20</v>
      </c>
      <c r="AH34" s="32" t="s">
        <v>20</v>
      </c>
      <c r="AI34" s="32" t="s">
        <v>20</v>
      </c>
      <c r="AJ34" s="32" t="s">
        <v>20</v>
      </c>
      <c r="AK34" s="32" t="s">
        <v>20</v>
      </c>
      <c r="AL34" s="32" t="s">
        <v>20</v>
      </c>
      <c r="AM34" s="32" t="s">
        <v>20</v>
      </c>
      <c r="AN34" s="32" t="s">
        <v>20</v>
      </c>
      <c r="AO34" s="32" t="s">
        <v>20</v>
      </c>
      <c r="AP34" s="32" t="s">
        <v>20</v>
      </c>
      <c r="AQ34" s="32" t="s">
        <v>20</v>
      </c>
      <c r="AR34" s="32" t="s">
        <v>20</v>
      </c>
      <c r="AS34" s="130" t="str">
        <f t="shared" si="2"/>
        <v>0,00%</v>
      </c>
      <c r="AT34" s="32" t="s">
        <v>20</v>
      </c>
      <c r="AU34" s="32" t="s">
        <v>20</v>
      </c>
      <c r="AV34" s="32" t="s">
        <v>20</v>
      </c>
      <c r="AW34" s="32" t="s">
        <v>20</v>
      </c>
      <c r="AX34" s="32" t="s">
        <v>20</v>
      </c>
      <c r="AY34" s="32" t="s">
        <v>20</v>
      </c>
      <c r="AZ34" s="32" t="s">
        <v>20</v>
      </c>
      <c r="BA34" s="130" t="str">
        <f t="shared" si="3"/>
        <v>0,00%</v>
      </c>
      <c r="BB34" s="32" t="s">
        <v>20</v>
      </c>
      <c r="BC34" s="32" t="s">
        <v>20</v>
      </c>
      <c r="BD34" s="32" t="s">
        <v>20</v>
      </c>
      <c r="BE34" s="32" t="s">
        <v>20</v>
      </c>
      <c r="BF34" s="32" t="s">
        <v>20</v>
      </c>
      <c r="BG34" s="32" t="s">
        <v>20</v>
      </c>
      <c r="BH34" s="32" t="s">
        <v>20</v>
      </c>
      <c r="BI34" s="32" t="s">
        <v>20</v>
      </c>
      <c r="BJ34" s="32" t="s">
        <v>20</v>
      </c>
      <c r="BK34" s="32" t="s">
        <v>20</v>
      </c>
      <c r="BL34" s="32" t="s">
        <v>20</v>
      </c>
      <c r="BM34" s="32" t="s">
        <v>20</v>
      </c>
      <c r="BN34" s="32" t="s">
        <v>20</v>
      </c>
      <c r="BO34" s="32" t="s">
        <v>20</v>
      </c>
      <c r="BP34" s="32" t="s">
        <v>20</v>
      </c>
      <c r="BQ34" s="32" t="s">
        <v>20</v>
      </c>
      <c r="BR34" s="32" t="s">
        <v>20</v>
      </c>
      <c r="BS34" s="69" t="s">
        <v>16</v>
      </c>
      <c r="BT34" s="29" t="s">
        <v>15</v>
      </c>
      <c r="BU34" s="51" t="s">
        <v>16</v>
      </c>
      <c r="BV34" s="51" t="s">
        <v>16</v>
      </c>
      <c r="BW34" s="51" t="s">
        <v>16</v>
      </c>
      <c r="BX34" s="130">
        <f t="shared" si="4"/>
        <v>0.2</v>
      </c>
      <c r="BY34" s="132"/>
      <c r="BZ34" s="132"/>
      <c r="CA34" s="132"/>
      <c r="CB34" s="132"/>
      <c r="CC34" s="132"/>
      <c r="CD34" s="132"/>
      <c r="CE34" s="132"/>
      <c r="CF34" s="132"/>
      <c r="CG34" s="132"/>
      <c r="CH34" s="132"/>
      <c r="CI34" s="132"/>
      <c r="CJ34" s="132"/>
      <c r="CK34" s="132"/>
      <c r="CL34" s="132"/>
      <c r="CM34" s="132"/>
      <c r="CN34" s="132"/>
      <c r="CO34" s="132"/>
      <c r="CP34" s="132"/>
      <c r="CQ34" s="132"/>
    </row>
    <row r="35">
      <c r="A35" s="6"/>
      <c r="C35" s="6"/>
      <c r="D35" s="133"/>
      <c r="E35" s="134" t="s">
        <v>28</v>
      </c>
      <c r="F35" s="98"/>
      <c r="G35" s="98"/>
      <c r="H35" s="98"/>
      <c r="I35" s="101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6"/>
      <c r="Y35" s="6"/>
      <c r="Z35" s="6"/>
      <c r="AA35" s="6"/>
      <c r="AB35" s="95"/>
    </row>
    <row r="36">
      <c r="A36" s="6"/>
      <c r="C36" s="6"/>
      <c r="D36" s="133"/>
      <c r="E36" s="135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98"/>
      <c r="AU36" s="98"/>
      <c r="AV36" s="101"/>
    </row>
    <row r="37">
      <c r="A37" s="6"/>
      <c r="C37" s="6"/>
      <c r="D37" s="133"/>
      <c r="E37" s="135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101"/>
    </row>
    <row r="38">
      <c r="A38" s="6"/>
      <c r="C38" s="6"/>
      <c r="D38" s="133"/>
      <c r="E38" s="135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98"/>
      <c r="AT38" s="98"/>
      <c r="AU38" s="98"/>
      <c r="AV38" s="101"/>
    </row>
    <row r="39">
      <c r="A39" s="6"/>
      <c r="C39" s="6"/>
      <c r="D39" s="133"/>
      <c r="E39" s="135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  <c r="AV39" s="101"/>
    </row>
    <row r="40">
      <c r="A40" s="6"/>
      <c r="C40" s="6"/>
      <c r="D40" s="133"/>
      <c r="E40" s="137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98"/>
      <c r="AT40" s="98"/>
      <c r="AU40" s="98"/>
      <c r="AV40" s="101"/>
    </row>
    <row r="41">
      <c r="A41" s="6"/>
      <c r="C41" s="6"/>
      <c r="D41" s="133"/>
      <c r="E41" s="137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98"/>
      <c r="AT41" s="98"/>
      <c r="AU41" s="98"/>
      <c r="AV41" s="101"/>
    </row>
    <row r="42">
      <c r="A42" s="6"/>
      <c r="C42" s="6"/>
      <c r="D42" s="133"/>
      <c r="E42" s="137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101"/>
    </row>
    <row r="43">
      <c r="A43" s="6"/>
      <c r="C43" s="6"/>
      <c r="D43" s="133"/>
      <c r="E43" s="137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101"/>
    </row>
    <row r="44">
      <c r="A44" s="6"/>
      <c r="C44" s="6"/>
      <c r="D44" s="133"/>
      <c r="E44" s="137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101"/>
    </row>
    <row r="45">
      <c r="A45" s="6"/>
      <c r="C45" s="6"/>
      <c r="D45" s="133"/>
      <c r="E45" s="137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101"/>
    </row>
    <row r="46">
      <c r="C46" s="6"/>
      <c r="D46" s="133"/>
      <c r="E46" s="137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98"/>
      <c r="AT46" s="98"/>
      <c r="AU46" s="98"/>
      <c r="AV46" s="101"/>
    </row>
    <row r="47">
      <c r="C47" s="6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</row>
    <row r="48">
      <c r="C48" s="6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</row>
    <row r="49">
      <c r="C49" s="6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</row>
    <row r="50">
      <c r="C50" s="6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</row>
    <row r="51">
      <c r="C51" s="6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</row>
    <row r="52">
      <c r="C52" s="6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</row>
    <row r="53">
      <c r="C53" s="6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</row>
    <row r="54">
      <c r="C54" s="6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</row>
    <row r="55">
      <c r="C55" s="6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</row>
    <row r="56">
      <c r="C56" s="6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</row>
    <row r="57">
      <c r="C57" s="6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</row>
    <row r="58">
      <c r="C58" s="6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</row>
    <row r="59">
      <c r="C59" s="6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</row>
    <row r="60">
      <c r="C60" s="6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</row>
    <row r="61">
      <c r="C61" s="6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</row>
    <row r="62">
      <c r="C62" s="6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</row>
    <row r="63">
      <c r="C63" s="6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</row>
    <row r="64">
      <c r="C64" s="6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</row>
    <row r="65">
      <c r="C65" s="6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</row>
    <row r="66">
      <c r="C66" s="6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</row>
    <row r="67">
      <c r="C67" s="6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</row>
    <row r="68">
      <c r="C68" s="6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</row>
    <row r="69">
      <c r="C69" s="6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</row>
    <row r="70">
      <c r="C70" s="6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</row>
    <row r="71">
      <c r="C71" s="6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</row>
    <row r="72">
      <c r="C72" s="6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</row>
    <row r="73">
      <c r="C73" s="6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</row>
    <row r="74">
      <c r="C74" s="6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</row>
    <row r="75">
      <c r="C75" s="6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</row>
    <row r="76">
      <c r="C76" s="6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</row>
    <row r="77">
      <c r="C77" s="6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</row>
    <row r="78">
      <c r="C78" s="6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</row>
    <row r="79">
      <c r="C79" s="6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</row>
    <row r="80">
      <c r="C80" s="6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</row>
    <row r="81">
      <c r="C81" s="6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</row>
    <row r="82">
      <c r="C82" s="6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</row>
    <row r="83">
      <c r="C83" s="6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</row>
    <row r="84">
      <c r="C84" s="6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</row>
    <row r="85">
      <c r="C85" s="6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</row>
    <row r="86">
      <c r="C86" s="6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</row>
    <row r="87">
      <c r="C87" s="6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</row>
    <row r="88">
      <c r="C88" s="6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</row>
    <row r="89">
      <c r="C89" s="6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</row>
    <row r="90">
      <c r="C90" s="6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</row>
    <row r="91">
      <c r="C91" s="6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</row>
    <row r="92">
      <c r="C92" s="6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</row>
    <row r="93">
      <c r="C93" s="6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</row>
    <row r="94">
      <c r="C94" s="6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</row>
    <row r="95">
      <c r="C95" s="6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</row>
    <row r="96">
      <c r="C96" s="6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</row>
    <row r="97">
      <c r="C97" s="6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</row>
    <row r="98">
      <c r="C98" s="6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</row>
    <row r="99">
      <c r="C99" s="6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</row>
    <row r="100">
      <c r="C100" s="6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</row>
    <row r="101">
      <c r="C101" s="6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</row>
    <row r="102">
      <c r="C102" s="6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</row>
    <row r="103">
      <c r="C103" s="6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</row>
    <row r="104">
      <c r="C104" s="6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</row>
    <row r="105">
      <c r="C105" s="6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</row>
    <row r="106">
      <c r="C106" s="6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</row>
    <row r="107">
      <c r="C107" s="6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</row>
    <row r="108">
      <c r="C108" s="6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</row>
    <row r="109">
      <c r="C109" s="6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</row>
    <row r="110">
      <c r="C110" s="6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</row>
    <row r="111">
      <c r="C111" s="6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</row>
    <row r="112">
      <c r="C112" s="6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</row>
    <row r="113">
      <c r="C113" s="6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</row>
    <row r="114">
      <c r="C114" s="6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</row>
    <row r="115">
      <c r="C115" s="6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</row>
    <row r="116">
      <c r="C116" s="6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</row>
    <row r="117">
      <c r="C117" s="6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</row>
    <row r="118">
      <c r="C118" s="6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</row>
    <row r="119">
      <c r="C119" s="6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</row>
    <row r="120">
      <c r="C120" s="6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</row>
    <row r="121">
      <c r="C121" s="6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</row>
    <row r="122">
      <c r="C122" s="6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</row>
    <row r="123">
      <c r="C123" s="6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</row>
    <row r="124">
      <c r="C124" s="6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</row>
    <row r="125">
      <c r="C125" s="6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</row>
    <row r="126">
      <c r="C126" s="6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</row>
    <row r="127">
      <c r="C127" s="6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</row>
    <row r="128">
      <c r="C128" s="6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</row>
    <row r="129">
      <c r="C129" s="6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</row>
    <row r="130">
      <c r="C130" s="6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</row>
    <row r="131">
      <c r="C131" s="6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</row>
    <row r="132">
      <c r="C132" s="6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</row>
    <row r="133">
      <c r="C133" s="6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</row>
    <row r="134">
      <c r="C134" s="6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</row>
    <row r="135">
      <c r="C135" s="6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</row>
    <row r="136">
      <c r="C136" s="6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</row>
    <row r="137">
      <c r="C137" s="6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</row>
    <row r="138">
      <c r="C138" s="6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</row>
    <row r="139">
      <c r="C139" s="6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</row>
    <row r="140">
      <c r="C140" s="6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</row>
    <row r="141">
      <c r="C141" s="6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</row>
    <row r="142">
      <c r="C142" s="6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</row>
    <row r="143">
      <c r="C143" s="6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</row>
    <row r="144">
      <c r="C144" s="6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</row>
    <row r="145">
      <c r="C145" s="6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</row>
    <row r="146">
      <c r="C146" s="6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</row>
    <row r="147">
      <c r="C147" s="6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</row>
    <row r="148">
      <c r="C148" s="6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</row>
    <row r="149">
      <c r="C149" s="6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</row>
    <row r="150">
      <c r="C150" s="6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</row>
    <row r="151">
      <c r="C151" s="6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</row>
    <row r="152">
      <c r="C152" s="6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</row>
    <row r="153">
      <c r="C153" s="6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</row>
    <row r="154">
      <c r="C154" s="6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</row>
    <row r="155">
      <c r="C155" s="6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</row>
    <row r="156">
      <c r="C156" s="6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</row>
    <row r="157">
      <c r="C157" s="6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</row>
    <row r="158">
      <c r="C158" s="6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</row>
    <row r="159">
      <c r="C159" s="6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</row>
    <row r="160">
      <c r="C160" s="6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</row>
    <row r="161">
      <c r="C161" s="6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</row>
    <row r="162">
      <c r="C162" s="6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</row>
    <row r="163">
      <c r="C163" s="6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</row>
    <row r="164">
      <c r="C164" s="6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</row>
    <row r="165">
      <c r="C165" s="6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</row>
    <row r="166">
      <c r="C166" s="6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</row>
    <row r="167">
      <c r="C167" s="6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</row>
    <row r="168">
      <c r="C168" s="6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</row>
    <row r="169">
      <c r="C169" s="6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</row>
    <row r="170">
      <c r="C170" s="6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</row>
    <row r="171">
      <c r="C171" s="6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</row>
    <row r="172">
      <c r="C172" s="6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</row>
    <row r="173">
      <c r="C173" s="6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</row>
    <row r="174">
      <c r="C174" s="6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</row>
    <row r="175">
      <c r="C175" s="6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</row>
    <row r="176">
      <c r="C176" s="6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</row>
    <row r="177">
      <c r="C177" s="6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</row>
    <row r="178">
      <c r="C178" s="6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</row>
    <row r="179">
      <c r="C179" s="6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</row>
    <row r="180">
      <c r="C180" s="6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</row>
    <row r="181">
      <c r="C181" s="6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</row>
    <row r="182">
      <c r="C182" s="6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</row>
    <row r="183">
      <c r="C183" s="6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</row>
    <row r="184">
      <c r="C184" s="6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</row>
    <row r="185">
      <c r="C185" s="6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</row>
    <row r="186">
      <c r="C186" s="6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</row>
    <row r="187">
      <c r="C187" s="6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</row>
    <row r="188">
      <c r="C188" s="6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</row>
    <row r="189">
      <c r="C189" s="6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</row>
    <row r="190">
      <c r="C190" s="6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</row>
    <row r="191">
      <c r="C191" s="6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</row>
    <row r="192">
      <c r="C192" s="6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</row>
    <row r="193">
      <c r="C193" s="6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</row>
    <row r="194">
      <c r="C194" s="6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</row>
    <row r="195">
      <c r="C195" s="6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</row>
    <row r="196">
      <c r="C196" s="6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</row>
    <row r="197">
      <c r="C197" s="6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</row>
    <row r="198">
      <c r="C198" s="6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</row>
    <row r="199">
      <c r="C199" s="6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</row>
    <row r="200">
      <c r="C200" s="6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</row>
    <row r="201">
      <c r="C201" s="6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</row>
    <row r="202">
      <c r="C202" s="6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</row>
    <row r="203">
      <c r="C203" s="6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</row>
    <row r="204">
      <c r="C204" s="6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</row>
    <row r="205">
      <c r="C205" s="6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</row>
    <row r="206">
      <c r="C206" s="6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</row>
    <row r="207">
      <c r="C207" s="6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</row>
    <row r="208">
      <c r="C208" s="6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</row>
    <row r="209">
      <c r="C209" s="6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</row>
    <row r="210">
      <c r="C210" s="6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</row>
    <row r="211">
      <c r="C211" s="6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</row>
    <row r="212">
      <c r="C212" s="6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</row>
    <row r="213">
      <c r="C213" s="6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</row>
    <row r="214">
      <c r="C214" s="6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</row>
    <row r="215">
      <c r="C215" s="6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</row>
    <row r="216">
      <c r="C216" s="6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</row>
    <row r="217">
      <c r="C217" s="6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</row>
    <row r="218">
      <c r="C218" s="6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</row>
    <row r="219">
      <c r="C219" s="6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</row>
    <row r="220">
      <c r="C220" s="6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</row>
    <row r="221">
      <c r="C221" s="6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</row>
    <row r="222">
      <c r="C222" s="6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</row>
    <row r="223">
      <c r="C223" s="6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</row>
    <row r="224">
      <c r="C224" s="6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</row>
    <row r="225">
      <c r="C225" s="6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</row>
    <row r="226">
      <c r="C226" s="6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</row>
    <row r="227">
      <c r="C227" s="6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</row>
    <row r="228">
      <c r="C228" s="6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</row>
    <row r="229">
      <c r="C229" s="6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</row>
    <row r="230">
      <c r="C230" s="6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</row>
    <row r="231">
      <c r="C231" s="6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</row>
    <row r="232">
      <c r="C232" s="6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</row>
    <row r="233">
      <c r="C233" s="6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</row>
    <row r="234">
      <c r="C234" s="6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</row>
    <row r="235">
      <c r="C235" s="6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</row>
    <row r="236">
      <c r="C236" s="6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</row>
    <row r="237">
      <c r="C237" s="6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</row>
    <row r="238">
      <c r="C238" s="6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</row>
    <row r="239">
      <c r="C239" s="6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</row>
    <row r="240">
      <c r="C240" s="6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</row>
    <row r="241">
      <c r="C241" s="6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</row>
    <row r="242">
      <c r="C242" s="6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</row>
    <row r="243">
      <c r="C243" s="6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</row>
    <row r="244">
      <c r="C244" s="6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</row>
    <row r="245">
      <c r="C245" s="6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</row>
    <row r="246">
      <c r="C246" s="6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</row>
    <row r="247">
      <c r="C247" s="6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</row>
    <row r="248">
      <c r="C248" s="6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</row>
    <row r="249">
      <c r="C249" s="6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</row>
    <row r="250">
      <c r="C250" s="6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</row>
    <row r="251">
      <c r="C251" s="6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</row>
    <row r="252">
      <c r="C252" s="6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</row>
    <row r="253">
      <c r="C253" s="6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</row>
    <row r="254">
      <c r="C254" s="6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</row>
    <row r="255">
      <c r="C255" s="6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</row>
    <row r="256">
      <c r="C256" s="6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</row>
    <row r="257">
      <c r="C257" s="6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</row>
    <row r="258">
      <c r="C258" s="6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</row>
    <row r="259">
      <c r="C259" s="6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</row>
    <row r="260">
      <c r="C260" s="6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</row>
    <row r="261">
      <c r="C261" s="6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</row>
    <row r="262">
      <c r="C262" s="6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</row>
    <row r="263">
      <c r="C263" s="6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</row>
    <row r="264">
      <c r="C264" s="6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</row>
    <row r="265">
      <c r="C265" s="6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</row>
    <row r="266">
      <c r="C266" s="6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</row>
    <row r="267">
      <c r="C267" s="6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</row>
    <row r="268">
      <c r="C268" s="6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</row>
    <row r="269">
      <c r="C269" s="6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</row>
    <row r="270">
      <c r="C270" s="6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</row>
    <row r="271">
      <c r="C271" s="6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</row>
    <row r="272">
      <c r="C272" s="6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</row>
    <row r="273">
      <c r="C273" s="6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</row>
    <row r="274">
      <c r="C274" s="6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</row>
    <row r="275">
      <c r="C275" s="6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</row>
    <row r="276">
      <c r="C276" s="6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</row>
    <row r="277">
      <c r="C277" s="6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</row>
    <row r="278">
      <c r="C278" s="6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</row>
    <row r="279">
      <c r="C279" s="6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</row>
    <row r="280">
      <c r="C280" s="6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</row>
    <row r="281">
      <c r="C281" s="6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</row>
    <row r="282">
      <c r="C282" s="6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</row>
    <row r="283">
      <c r="C283" s="6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</row>
    <row r="284">
      <c r="C284" s="6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</row>
    <row r="285">
      <c r="C285" s="6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</row>
    <row r="286">
      <c r="C286" s="6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</row>
    <row r="287">
      <c r="C287" s="6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</row>
    <row r="288">
      <c r="C288" s="6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</row>
    <row r="289">
      <c r="C289" s="6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</row>
    <row r="290">
      <c r="C290" s="6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</row>
    <row r="291">
      <c r="C291" s="6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</row>
    <row r="292">
      <c r="C292" s="6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</row>
    <row r="293">
      <c r="C293" s="6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</row>
    <row r="294">
      <c r="C294" s="6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</row>
    <row r="295">
      <c r="C295" s="6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</row>
    <row r="296">
      <c r="C296" s="6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</row>
    <row r="297">
      <c r="C297" s="6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</row>
    <row r="298">
      <c r="C298" s="6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</row>
    <row r="299">
      <c r="C299" s="6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</row>
    <row r="300">
      <c r="C300" s="6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</row>
    <row r="301">
      <c r="C301" s="6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</row>
    <row r="302">
      <c r="C302" s="6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</row>
    <row r="303">
      <c r="C303" s="6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</row>
    <row r="304">
      <c r="C304" s="6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</row>
    <row r="305">
      <c r="C305" s="6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</row>
    <row r="306">
      <c r="C306" s="6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</row>
    <row r="307">
      <c r="C307" s="6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</row>
    <row r="308">
      <c r="C308" s="6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</row>
    <row r="309">
      <c r="C309" s="6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</row>
    <row r="310">
      <c r="C310" s="6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</row>
    <row r="311">
      <c r="C311" s="6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</row>
    <row r="312">
      <c r="C312" s="6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</row>
    <row r="313">
      <c r="C313" s="6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</row>
    <row r="314">
      <c r="C314" s="6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</row>
    <row r="315">
      <c r="C315" s="6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</row>
    <row r="316">
      <c r="C316" s="6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</row>
    <row r="317">
      <c r="C317" s="6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</row>
    <row r="318">
      <c r="C318" s="6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</row>
    <row r="319">
      <c r="C319" s="6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</row>
    <row r="320">
      <c r="C320" s="6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</row>
    <row r="321">
      <c r="C321" s="6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</row>
    <row r="322">
      <c r="C322" s="6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</row>
    <row r="323">
      <c r="C323" s="6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</row>
    <row r="324">
      <c r="C324" s="6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</row>
    <row r="325">
      <c r="C325" s="6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</row>
    <row r="326">
      <c r="C326" s="6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</row>
    <row r="327">
      <c r="C327" s="6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</row>
    <row r="328">
      <c r="C328" s="6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</row>
    <row r="329">
      <c r="C329" s="6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</row>
    <row r="330">
      <c r="C330" s="6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</row>
    <row r="331">
      <c r="C331" s="6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</row>
    <row r="332">
      <c r="C332" s="6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</row>
    <row r="333">
      <c r="C333" s="6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</row>
    <row r="334">
      <c r="C334" s="6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</row>
    <row r="335">
      <c r="C335" s="6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</row>
    <row r="336">
      <c r="C336" s="6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</row>
    <row r="337">
      <c r="C337" s="6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</row>
    <row r="338">
      <c r="C338" s="6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</row>
    <row r="339">
      <c r="C339" s="6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</row>
    <row r="340">
      <c r="C340" s="6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</row>
    <row r="341">
      <c r="C341" s="6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</row>
    <row r="342">
      <c r="C342" s="6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</row>
    <row r="343">
      <c r="C343" s="6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</row>
    <row r="344">
      <c r="C344" s="6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</row>
    <row r="345">
      <c r="C345" s="6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</row>
    <row r="346">
      <c r="C346" s="6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</row>
    <row r="347">
      <c r="C347" s="6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</row>
    <row r="348">
      <c r="C348" s="6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</row>
    <row r="349">
      <c r="C349" s="6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</row>
    <row r="350">
      <c r="C350" s="6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</row>
    <row r="351">
      <c r="C351" s="6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</row>
    <row r="352">
      <c r="C352" s="6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</row>
    <row r="353">
      <c r="C353" s="6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</row>
    <row r="354">
      <c r="C354" s="6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</row>
    <row r="355">
      <c r="C355" s="6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</row>
    <row r="356">
      <c r="C356" s="6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</row>
    <row r="357">
      <c r="C357" s="6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</row>
    <row r="358">
      <c r="C358" s="6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</row>
    <row r="359">
      <c r="C359" s="6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</row>
    <row r="360">
      <c r="C360" s="6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</row>
    <row r="361">
      <c r="C361" s="6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</row>
    <row r="362">
      <c r="C362" s="6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</row>
    <row r="363">
      <c r="C363" s="6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</row>
    <row r="364">
      <c r="C364" s="6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</row>
    <row r="365">
      <c r="C365" s="6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</row>
    <row r="366">
      <c r="C366" s="6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</row>
    <row r="367">
      <c r="C367" s="6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</row>
    <row r="368">
      <c r="C368" s="6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</row>
    <row r="369">
      <c r="C369" s="6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</row>
    <row r="370">
      <c r="C370" s="6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</row>
    <row r="371">
      <c r="C371" s="6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</row>
    <row r="372">
      <c r="C372" s="6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</row>
    <row r="373">
      <c r="C373" s="6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</row>
    <row r="374">
      <c r="C374" s="6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</row>
    <row r="375">
      <c r="C375" s="6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</row>
    <row r="376">
      <c r="C376" s="6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</row>
    <row r="377">
      <c r="C377" s="6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</row>
    <row r="378">
      <c r="C378" s="6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</row>
    <row r="379">
      <c r="C379" s="6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</row>
    <row r="380">
      <c r="C380" s="6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</row>
    <row r="381">
      <c r="C381" s="6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</row>
    <row r="382">
      <c r="C382" s="6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</row>
    <row r="383">
      <c r="C383" s="6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</row>
    <row r="384">
      <c r="C384" s="6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</row>
    <row r="385">
      <c r="C385" s="6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</row>
    <row r="386">
      <c r="C386" s="6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</row>
    <row r="387">
      <c r="C387" s="6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</row>
    <row r="388">
      <c r="C388" s="6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</row>
    <row r="389">
      <c r="C389" s="6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</row>
    <row r="390">
      <c r="C390" s="6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</row>
    <row r="391">
      <c r="C391" s="6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</row>
    <row r="392">
      <c r="C392" s="6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</row>
    <row r="393">
      <c r="C393" s="6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</row>
    <row r="394">
      <c r="C394" s="6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</row>
    <row r="395">
      <c r="C395" s="6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</row>
    <row r="396">
      <c r="C396" s="6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</row>
    <row r="397">
      <c r="C397" s="6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</row>
    <row r="398">
      <c r="C398" s="6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</row>
    <row r="399">
      <c r="C399" s="6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</row>
    <row r="400">
      <c r="C400" s="6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</row>
    <row r="401">
      <c r="C401" s="6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</row>
    <row r="402">
      <c r="C402" s="6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</row>
    <row r="403">
      <c r="C403" s="6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</row>
    <row r="404">
      <c r="C404" s="6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</row>
    <row r="405">
      <c r="C405" s="6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</row>
    <row r="406">
      <c r="C406" s="6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</row>
    <row r="407">
      <c r="C407" s="6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</row>
    <row r="408">
      <c r="C408" s="6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</row>
    <row r="409">
      <c r="C409" s="6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</row>
    <row r="410">
      <c r="C410" s="6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</row>
    <row r="411">
      <c r="C411" s="6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</row>
    <row r="412">
      <c r="C412" s="6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</row>
    <row r="413">
      <c r="C413" s="6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</row>
    <row r="414">
      <c r="C414" s="6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</row>
    <row r="415">
      <c r="C415" s="6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</row>
    <row r="416">
      <c r="C416" s="6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</row>
    <row r="417">
      <c r="C417" s="6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</row>
    <row r="418">
      <c r="C418" s="6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</row>
    <row r="419">
      <c r="C419" s="6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</row>
    <row r="420">
      <c r="C420" s="6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</row>
    <row r="421">
      <c r="C421" s="6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</row>
    <row r="422">
      <c r="C422" s="6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</row>
    <row r="423">
      <c r="C423" s="6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</row>
    <row r="424">
      <c r="C424" s="6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</row>
    <row r="425">
      <c r="C425" s="6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</row>
    <row r="426">
      <c r="C426" s="6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</row>
    <row r="427">
      <c r="C427" s="6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</row>
    <row r="428">
      <c r="C428" s="6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</row>
    <row r="429">
      <c r="C429" s="6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</row>
    <row r="430">
      <c r="C430" s="6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</row>
    <row r="431">
      <c r="C431" s="6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</row>
    <row r="432">
      <c r="C432" s="6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</row>
    <row r="433">
      <c r="C433" s="6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</row>
    <row r="434">
      <c r="C434" s="6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</row>
    <row r="435">
      <c r="C435" s="6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</row>
    <row r="436">
      <c r="C436" s="6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</row>
    <row r="437">
      <c r="C437" s="6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</row>
    <row r="438">
      <c r="C438" s="6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</row>
    <row r="439">
      <c r="C439" s="6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</row>
    <row r="440">
      <c r="C440" s="6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</row>
    <row r="441">
      <c r="C441" s="6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</row>
    <row r="442">
      <c r="C442" s="6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</row>
    <row r="443">
      <c r="C443" s="6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</row>
    <row r="444">
      <c r="C444" s="6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</row>
    <row r="445">
      <c r="C445" s="6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</row>
    <row r="446">
      <c r="C446" s="6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</row>
    <row r="447">
      <c r="C447" s="6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</row>
    <row r="448">
      <c r="C448" s="6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</row>
    <row r="449">
      <c r="C449" s="6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</row>
    <row r="450">
      <c r="C450" s="6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</row>
    <row r="451">
      <c r="C451" s="6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</row>
    <row r="452">
      <c r="C452" s="6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</row>
    <row r="453">
      <c r="C453" s="6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</row>
    <row r="454">
      <c r="C454" s="6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</row>
    <row r="455">
      <c r="C455" s="6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</row>
    <row r="456">
      <c r="C456" s="6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</row>
    <row r="457">
      <c r="C457" s="6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</row>
    <row r="458">
      <c r="C458" s="6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</row>
    <row r="459">
      <c r="C459" s="6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</row>
    <row r="460">
      <c r="C460" s="6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</row>
    <row r="461">
      <c r="C461" s="6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</row>
    <row r="462">
      <c r="C462" s="6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</row>
    <row r="463">
      <c r="C463" s="6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</row>
    <row r="464">
      <c r="C464" s="6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</row>
    <row r="465">
      <c r="C465" s="6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</row>
    <row r="466">
      <c r="C466" s="6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</row>
    <row r="467">
      <c r="C467" s="6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</row>
    <row r="468">
      <c r="C468" s="6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</row>
    <row r="469">
      <c r="C469" s="6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</row>
    <row r="470">
      <c r="C470" s="6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</row>
    <row r="471">
      <c r="C471" s="6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</row>
    <row r="472">
      <c r="C472" s="6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</row>
    <row r="473">
      <c r="C473" s="6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</row>
    <row r="474">
      <c r="C474" s="6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</row>
    <row r="475">
      <c r="C475" s="6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</row>
    <row r="476">
      <c r="C476" s="6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</row>
    <row r="477">
      <c r="C477" s="6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</row>
    <row r="478">
      <c r="C478" s="6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</row>
    <row r="479">
      <c r="C479" s="6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</row>
    <row r="480">
      <c r="C480" s="6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</row>
    <row r="481">
      <c r="C481" s="6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</row>
    <row r="482">
      <c r="C482" s="6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</row>
    <row r="483">
      <c r="C483" s="6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</row>
    <row r="484">
      <c r="C484" s="6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</row>
    <row r="485">
      <c r="C485" s="6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</row>
    <row r="486">
      <c r="C486" s="6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</row>
    <row r="487">
      <c r="C487" s="6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</row>
    <row r="488">
      <c r="C488" s="6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</row>
    <row r="489">
      <c r="C489" s="6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</row>
    <row r="490">
      <c r="C490" s="6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</row>
    <row r="491">
      <c r="C491" s="6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</row>
    <row r="492">
      <c r="C492" s="6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</row>
    <row r="493">
      <c r="C493" s="6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</row>
    <row r="494">
      <c r="C494" s="6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</row>
    <row r="495">
      <c r="C495" s="6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</row>
    <row r="496">
      <c r="C496" s="6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</row>
    <row r="497">
      <c r="C497" s="6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</row>
    <row r="498">
      <c r="C498" s="6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</row>
    <row r="499">
      <c r="C499" s="6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</row>
    <row r="500">
      <c r="C500" s="6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</row>
    <row r="501">
      <c r="C501" s="6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</row>
    <row r="502">
      <c r="C502" s="6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</row>
    <row r="503">
      <c r="C503" s="6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</row>
    <row r="504">
      <c r="C504" s="6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</row>
    <row r="505">
      <c r="C505" s="6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</row>
    <row r="506">
      <c r="C506" s="6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</row>
    <row r="507">
      <c r="C507" s="6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</row>
    <row r="508">
      <c r="C508" s="6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</row>
    <row r="509">
      <c r="C509" s="6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</row>
    <row r="510">
      <c r="C510" s="6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</row>
    <row r="511">
      <c r="C511" s="6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</row>
    <row r="512">
      <c r="C512" s="6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</row>
    <row r="513">
      <c r="C513" s="6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</row>
    <row r="514">
      <c r="C514" s="6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</row>
    <row r="515">
      <c r="C515" s="6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</row>
    <row r="516">
      <c r="C516" s="6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</row>
    <row r="517">
      <c r="C517" s="6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</row>
    <row r="518">
      <c r="C518" s="6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</row>
    <row r="519">
      <c r="C519" s="6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</row>
    <row r="520">
      <c r="C520" s="6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</row>
    <row r="521">
      <c r="C521" s="6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</row>
    <row r="522">
      <c r="C522" s="6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</row>
    <row r="523">
      <c r="C523" s="6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</row>
    <row r="524">
      <c r="C524" s="6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</row>
    <row r="525">
      <c r="C525" s="6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</row>
    <row r="526">
      <c r="C526" s="6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</row>
    <row r="527">
      <c r="C527" s="6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</row>
    <row r="528">
      <c r="C528" s="6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</row>
    <row r="529">
      <c r="C529" s="6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</row>
    <row r="530">
      <c r="C530" s="6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</row>
    <row r="531">
      <c r="C531" s="6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</row>
    <row r="532">
      <c r="C532" s="6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</row>
    <row r="533">
      <c r="C533" s="6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</row>
    <row r="534">
      <c r="C534" s="6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</row>
    <row r="535">
      <c r="C535" s="6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</row>
    <row r="536">
      <c r="C536" s="6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</row>
    <row r="537">
      <c r="C537" s="6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</row>
    <row r="538">
      <c r="C538" s="6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</row>
    <row r="539">
      <c r="C539" s="6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</row>
    <row r="540">
      <c r="C540" s="6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</row>
    <row r="541">
      <c r="C541" s="6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</row>
    <row r="542">
      <c r="C542" s="6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</row>
    <row r="543">
      <c r="C543" s="6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</row>
    <row r="544">
      <c r="C544" s="6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</row>
    <row r="545">
      <c r="C545" s="6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</row>
    <row r="546">
      <c r="C546" s="6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</row>
    <row r="547">
      <c r="C547" s="6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</row>
    <row r="548">
      <c r="C548" s="6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</row>
    <row r="549">
      <c r="C549" s="6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</row>
    <row r="550">
      <c r="C550" s="6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</row>
    <row r="551">
      <c r="C551" s="6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</row>
    <row r="552">
      <c r="C552" s="6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</row>
    <row r="553">
      <c r="C553" s="6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</row>
    <row r="554">
      <c r="C554" s="6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</row>
    <row r="555">
      <c r="C555" s="6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</row>
    <row r="556">
      <c r="C556" s="6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</row>
    <row r="557">
      <c r="C557" s="6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</row>
    <row r="558">
      <c r="C558" s="6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</row>
    <row r="559">
      <c r="C559" s="6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</row>
    <row r="560">
      <c r="C560" s="6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</row>
    <row r="561">
      <c r="C561" s="6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</row>
    <row r="562">
      <c r="C562" s="6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</row>
    <row r="563">
      <c r="C563" s="6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</row>
    <row r="564">
      <c r="C564" s="6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</row>
    <row r="565">
      <c r="C565" s="6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</row>
    <row r="566">
      <c r="C566" s="6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</row>
    <row r="567">
      <c r="C567" s="6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</row>
    <row r="568">
      <c r="C568" s="6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</row>
    <row r="569">
      <c r="C569" s="6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</row>
    <row r="570">
      <c r="C570" s="6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</row>
    <row r="571">
      <c r="C571" s="6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</row>
    <row r="572">
      <c r="C572" s="6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</row>
    <row r="573">
      <c r="C573" s="6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</row>
    <row r="574">
      <c r="C574" s="6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</row>
    <row r="575">
      <c r="C575" s="6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</row>
    <row r="576">
      <c r="C576" s="6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</row>
    <row r="577">
      <c r="C577" s="6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</row>
    <row r="578">
      <c r="C578" s="6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</row>
    <row r="579">
      <c r="C579" s="6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</row>
    <row r="580">
      <c r="C580" s="6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</row>
    <row r="581">
      <c r="C581" s="6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</row>
    <row r="582">
      <c r="C582" s="6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</row>
    <row r="583">
      <c r="C583" s="6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</row>
    <row r="584">
      <c r="C584" s="6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</row>
    <row r="585">
      <c r="C585" s="6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</row>
    <row r="586">
      <c r="C586" s="6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</row>
    <row r="587">
      <c r="C587" s="6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</row>
    <row r="588">
      <c r="C588" s="6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</row>
    <row r="589">
      <c r="C589" s="6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</row>
    <row r="590">
      <c r="C590" s="6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</row>
    <row r="591">
      <c r="C591" s="6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</row>
    <row r="592">
      <c r="C592" s="6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</row>
    <row r="593">
      <c r="C593" s="6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</row>
    <row r="594">
      <c r="C594" s="6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</row>
    <row r="595">
      <c r="C595" s="6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</row>
    <row r="596">
      <c r="C596" s="6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</row>
    <row r="597">
      <c r="C597" s="6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</row>
    <row r="598">
      <c r="C598" s="6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</row>
    <row r="599">
      <c r="C599" s="6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</row>
    <row r="600">
      <c r="C600" s="6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</row>
    <row r="601">
      <c r="C601" s="6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</row>
    <row r="602">
      <c r="C602" s="6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</row>
    <row r="603">
      <c r="C603" s="6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</row>
    <row r="604">
      <c r="C604" s="6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</row>
    <row r="605">
      <c r="C605" s="6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</row>
    <row r="606">
      <c r="C606" s="6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</row>
    <row r="607">
      <c r="C607" s="6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</row>
    <row r="608">
      <c r="C608" s="6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</row>
    <row r="609">
      <c r="C609" s="6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</row>
    <row r="610">
      <c r="C610" s="6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</row>
    <row r="611">
      <c r="C611" s="6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</row>
    <row r="612">
      <c r="C612" s="6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</row>
    <row r="613">
      <c r="C613" s="6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</row>
    <row r="614">
      <c r="C614" s="6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</row>
    <row r="615">
      <c r="C615" s="6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</row>
    <row r="616">
      <c r="C616" s="6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</row>
    <row r="617">
      <c r="C617" s="6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</row>
    <row r="618">
      <c r="C618" s="6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</row>
    <row r="619">
      <c r="C619" s="6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</row>
    <row r="620">
      <c r="C620" s="6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</row>
    <row r="621">
      <c r="C621" s="6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</row>
    <row r="622">
      <c r="C622" s="6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</row>
    <row r="623">
      <c r="C623" s="6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</row>
    <row r="624">
      <c r="C624" s="6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</row>
    <row r="625">
      <c r="C625" s="6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</row>
    <row r="626">
      <c r="C626" s="6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</row>
    <row r="627">
      <c r="C627" s="6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</row>
    <row r="628">
      <c r="C628" s="6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</row>
    <row r="629">
      <c r="C629" s="6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</row>
    <row r="630">
      <c r="C630" s="6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</row>
    <row r="631">
      <c r="C631" s="6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</row>
    <row r="632">
      <c r="C632" s="6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</row>
    <row r="633">
      <c r="C633" s="6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</row>
    <row r="634">
      <c r="C634" s="6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</row>
    <row r="635">
      <c r="C635" s="6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</row>
    <row r="636">
      <c r="C636" s="6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</row>
    <row r="637">
      <c r="C637" s="6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</row>
    <row r="638">
      <c r="C638" s="6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</row>
    <row r="639">
      <c r="C639" s="6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</row>
    <row r="640">
      <c r="C640" s="6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</row>
    <row r="641">
      <c r="C641" s="6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</row>
    <row r="642">
      <c r="C642" s="6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</row>
    <row r="643">
      <c r="C643" s="6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</row>
    <row r="644">
      <c r="C644" s="6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</row>
    <row r="645">
      <c r="C645" s="6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</row>
    <row r="646">
      <c r="C646" s="6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</row>
    <row r="647">
      <c r="C647" s="6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</row>
    <row r="648">
      <c r="C648" s="6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</row>
    <row r="649">
      <c r="C649" s="6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</row>
    <row r="650">
      <c r="C650" s="6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</row>
    <row r="651">
      <c r="C651" s="6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</row>
    <row r="652">
      <c r="C652" s="6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</row>
    <row r="653">
      <c r="C653" s="6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</row>
    <row r="654">
      <c r="C654" s="6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</row>
    <row r="655">
      <c r="C655" s="6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</row>
    <row r="656">
      <c r="C656" s="6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</row>
    <row r="657">
      <c r="C657" s="6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</row>
    <row r="658">
      <c r="C658" s="6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</row>
    <row r="659">
      <c r="C659" s="6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</row>
    <row r="660">
      <c r="C660" s="6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</row>
    <row r="661">
      <c r="C661" s="6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</row>
    <row r="662">
      <c r="C662" s="6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</row>
    <row r="663">
      <c r="C663" s="6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</row>
    <row r="664">
      <c r="C664" s="6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</row>
    <row r="665">
      <c r="C665" s="6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</row>
    <row r="666">
      <c r="C666" s="6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</row>
    <row r="667">
      <c r="C667" s="6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</row>
    <row r="668">
      <c r="C668" s="6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</row>
    <row r="669">
      <c r="C669" s="6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</row>
    <row r="670">
      <c r="C670" s="6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</row>
    <row r="671">
      <c r="C671" s="6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</row>
    <row r="672">
      <c r="C672" s="6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</row>
    <row r="673">
      <c r="C673" s="6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</row>
    <row r="674">
      <c r="C674" s="6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</row>
    <row r="675">
      <c r="C675" s="6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</row>
    <row r="676">
      <c r="C676" s="6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</row>
    <row r="677">
      <c r="C677" s="6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</row>
    <row r="678">
      <c r="C678" s="6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</row>
    <row r="679">
      <c r="C679" s="6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</row>
    <row r="680">
      <c r="C680" s="6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</row>
    <row r="681">
      <c r="C681" s="6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</row>
    <row r="682">
      <c r="C682" s="6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</row>
    <row r="683">
      <c r="C683" s="6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</row>
    <row r="684">
      <c r="C684" s="6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</row>
    <row r="685">
      <c r="C685" s="6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</row>
    <row r="686">
      <c r="C686" s="6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</row>
    <row r="687">
      <c r="C687" s="6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</row>
    <row r="688">
      <c r="C688" s="6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</row>
    <row r="689">
      <c r="C689" s="6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</row>
    <row r="690">
      <c r="C690" s="6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</row>
    <row r="691">
      <c r="C691" s="6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</row>
    <row r="692">
      <c r="C692" s="6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</row>
    <row r="693">
      <c r="C693" s="6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</row>
    <row r="694">
      <c r="C694" s="6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</row>
    <row r="695">
      <c r="C695" s="6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</row>
    <row r="696">
      <c r="C696" s="6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</row>
    <row r="697">
      <c r="C697" s="6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</row>
    <row r="698">
      <c r="C698" s="6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</row>
    <row r="699">
      <c r="C699" s="6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</row>
    <row r="700">
      <c r="C700" s="6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</row>
    <row r="701">
      <c r="C701" s="6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</row>
    <row r="702">
      <c r="C702" s="6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</row>
    <row r="703">
      <c r="C703" s="6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</row>
    <row r="704">
      <c r="C704" s="6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</row>
    <row r="705">
      <c r="C705" s="6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</row>
    <row r="706">
      <c r="C706" s="6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</row>
    <row r="707">
      <c r="C707" s="6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</row>
    <row r="708">
      <c r="C708" s="6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</row>
    <row r="709">
      <c r="C709" s="6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</row>
    <row r="710">
      <c r="C710" s="6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</row>
    <row r="711">
      <c r="C711" s="6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</row>
    <row r="712">
      <c r="C712" s="6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</row>
    <row r="713">
      <c r="C713" s="6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</row>
    <row r="714">
      <c r="C714" s="6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</row>
    <row r="715">
      <c r="C715" s="6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</row>
    <row r="716">
      <c r="C716" s="6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</row>
    <row r="717">
      <c r="C717" s="6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</row>
    <row r="718">
      <c r="C718" s="6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</row>
    <row r="719">
      <c r="C719" s="6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</row>
    <row r="720">
      <c r="C720" s="6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</row>
    <row r="721">
      <c r="C721" s="6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</row>
    <row r="722">
      <c r="C722" s="6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</row>
    <row r="723">
      <c r="C723" s="6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</row>
    <row r="724">
      <c r="C724" s="6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</row>
    <row r="725">
      <c r="C725" s="6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</row>
    <row r="726">
      <c r="C726" s="6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</row>
    <row r="727">
      <c r="C727" s="6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</row>
    <row r="728">
      <c r="C728" s="6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</row>
    <row r="729">
      <c r="C729" s="6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</row>
    <row r="730">
      <c r="C730" s="6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</row>
    <row r="731">
      <c r="C731" s="6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</row>
    <row r="732">
      <c r="C732" s="6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</row>
    <row r="733">
      <c r="C733" s="6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</row>
    <row r="734">
      <c r="C734" s="6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</row>
    <row r="735">
      <c r="C735" s="6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</row>
    <row r="736">
      <c r="C736" s="6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</row>
    <row r="737">
      <c r="C737" s="6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</row>
    <row r="738">
      <c r="C738" s="6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</row>
    <row r="739">
      <c r="C739" s="6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</row>
    <row r="740">
      <c r="C740" s="6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</row>
    <row r="741">
      <c r="C741" s="6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</row>
    <row r="742">
      <c r="C742" s="6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</row>
    <row r="743">
      <c r="C743" s="6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</row>
    <row r="744">
      <c r="C744" s="6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</row>
    <row r="745">
      <c r="C745" s="6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</row>
    <row r="746">
      <c r="C746" s="6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</row>
    <row r="747">
      <c r="C747" s="6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</row>
    <row r="748">
      <c r="C748" s="6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</row>
    <row r="749">
      <c r="C749" s="6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</row>
    <row r="750">
      <c r="C750" s="6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</row>
    <row r="751">
      <c r="C751" s="6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</row>
    <row r="752">
      <c r="C752" s="6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</row>
    <row r="753">
      <c r="C753" s="6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</row>
    <row r="754">
      <c r="C754" s="6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</row>
    <row r="755">
      <c r="C755" s="6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</row>
    <row r="756">
      <c r="C756" s="6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</row>
    <row r="757">
      <c r="C757" s="6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</row>
    <row r="758">
      <c r="C758" s="6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</row>
    <row r="759">
      <c r="C759" s="6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</row>
    <row r="760">
      <c r="C760" s="6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</row>
    <row r="761">
      <c r="C761" s="6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</row>
    <row r="762">
      <c r="C762" s="6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</row>
    <row r="763">
      <c r="C763" s="6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</row>
    <row r="764">
      <c r="C764" s="6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</row>
    <row r="765">
      <c r="C765" s="6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</row>
    <row r="766">
      <c r="C766" s="6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</row>
    <row r="767">
      <c r="C767" s="6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</row>
    <row r="768">
      <c r="C768" s="6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</row>
    <row r="769">
      <c r="C769" s="6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</row>
    <row r="770">
      <c r="C770" s="6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</row>
    <row r="771">
      <c r="C771" s="6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</row>
    <row r="772">
      <c r="C772" s="6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</row>
    <row r="773">
      <c r="C773" s="6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</row>
    <row r="774">
      <c r="C774" s="6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</row>
    <row r="775">
      <c r="C775" s="6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</row>
    <row r="776">
      <c r="C776" s="6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</row>
    <row r="777">
      <c r="C777" s="6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</row>
    <row r="778">
      <c r="C778" s="6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</row>
    <row r="779">
      <c r="C779" s="6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</row>
    <row r="780">
      <c r="C780" s="6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</row>
    <row r="781">
      <c r="C781" s="6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</row>
    <row r="782">
      <c r="C782" s="6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</row>
    <row r="783">
      <c r="C783" s="6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</row>
    <row r="784">
      <c r="C784" s="6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</row>
    <row r="785">
      <c r="C785" s="6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</row>
    <row r="786">
      <c r="C786" s="6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</row>
    <row r="787">
      <c r="C787" s="6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</row>
    <row r="788">
      <c r="C788" s="6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</row>
    <row r="789">
      <c r="C789" s="6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</row>
    <row r="790">
      <c r="C790" s="6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</row>
    <row r="791">
      <c r="C791" s="6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</row>
    <row r="792">
      <c r="C792" s="6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</row>
    <row r="793">
      <c r="C793" s="6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</row>
    <row r="794">
      <c r="C794" s="6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</row>
    <row r="795">
      <c r="C795" s="6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</row>
    <row r="796">
      <c r="C796" s="6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</row>
    <row r="797">
      <c r="C797" s="6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</row>
    <row r="798">
      <c r="C798" s="6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</row>
    <row r="799">
      <c r="C799" s="6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</row>
    <row r="800">
      <c r="C800" s="6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</row>
    <row r="801">
      <c r="C801" s="6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</row>
    <row r="802">
      <c r="C802" s="6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</row>
    <row r="803">
      <c r="C803" s="6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</row>
    <row r="804">
      <c r="C804" s="6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</row>
    <row r="805">
      <c r="C805" s="6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</row>
    <row r="806">
      <c r="C806" s="6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</row>
    <row r="807">
      <c r="C807" s="6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</row>
    <row r="808">
      <c r="C808" s="6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</row>
    <row r="809">
      <c r="C809" s="6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</row>
    <row r="810">
      <c r="C810" s="6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</row>
    <row r="811">
      <c r="C811" s="6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</row>
    <row r="812">
      <c r="C812" s="6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</row>
    <row r="813">
      <c r="C813" s="6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</row>
    <row r="814">
      <c r="C814" s="6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</row>
    <row r="815">
      <c r="C815" s="6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</row>
    <row r="816">
      <c r="C816" s="6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</row>
    <row r="817">
      <c r="C817" s="6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</row>
    <row r="818">
      <c r="C818" s="6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</row>
    <row r="819">
      <c r="C819" s="6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</row>
    <row r="820">
      <c r="C820" s="6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</row>
    <row r="821">
      <c r="C821" s="6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</row>
    <row r="822">
      <c r="C822" s="6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</row>
    <row r="823">
      <c r="C823" s="6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</row>
    <row r="824">
      <c r="C824" s="6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</row>
    <row r="825">
      <c r="C825" s="6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</row>
    <row r="826">
      <c r="C826" s="6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</row>
    <row r="827">
      <c r="C827" s="6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</row>
    <row r="828">
      <c r="C828" s="6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</row>
    <row r="829">
      <c r="C829" s="6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</row>
    <row r="830">
      <c r="C830" s="6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</row>
    <row r="831">
      <c r="C831" s="6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</row>
    <row r="832">
      <c r="C832" s="6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</row>
    <row r="833">
      <c r="C833" s="6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</row>
    <row r="834">
      <c r="C834" s="6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</row>
    <row r="835">
      <c r="C835" s="6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</row>
    <row r="836">
      <c r="C836" s="6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</row>
    <row r="837">
      <c r="C837" s="6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</row>
    <row r="838">
      <c r="C838" s="6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</row>
    <row r="839">
      <c r="C839" s="6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</row>
    <row r="840">
      <c r="C840" s="6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</row>
    <row r="841">
      <c r="C841" s="6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</row>
    <row r="842">
      <c r="C842" s="6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</row>
    <row r="843">
      <c r="C843" s="6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</row>
    <row r="844">
      <c r="C844" s="6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</row>
    <row r="845">
      <c r="C845" s="6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</row>
    <row r="846">
      <c r="C846" s="6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</row>
    <row r="847">
      <c r="C847" s="6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</row>
    <row r="848">
      <c r="C848" s="6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</row>
    <row r="849">
      <c r="C849" s="6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</row>
    <row r="850">
      <c r="C850" s="6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</row>
    <row r="851">
      <c r="C851" s="6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</row>
    <row r="852">
      <c r="C852" s="6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</row>
    <row r="853">
      <c r="C853" s="6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</row>
    <row r="854">
      <c r="C854" s="6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</row>
    <row r="855">
      <c r="C855" s="6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</row>
    <row r="856">
      <c r="C856" s="6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</row>
    <row r="857">
      <c r="C857" s="6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</row>
    <row r="858">
      <c r="C858" s="6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</row>
    <row r="859">
      <c r="C859" s="6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</row>
    <row r="860">
      <c r="C860" s="6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</row>
    <row r="861">
      <c r="C861" s="6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</row>
    <row r="862">
      <c r="C862" s="6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</row>
    <row r="863">
      <c r="C863" s="6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</row>
    <row r="864">
      <c r="C864" s="6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</row>
    <row r="865">
      <c r="C865" s="6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</row>
    <row r="866">
      <c r="C866" s="6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</row>
    <row r="867">
      <c r="C867" s="6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</row>
    <row r="868">
      <c r="C868" s="6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</row>
    <row r="869">
      <c r="C869" s="6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</row>
    <row r="870">
      <c r="C870" s="6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</row>
    <row r="871">
      <c r="C871" s="6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</row>
    <row r="872">
      <c r="C872" s="6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</row>
    <row r="873">
      <c r="C873" s="6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</row>
    <row r="874">
      <c r="C874" s="6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</row>
    <row r="875">
      <c r="C875" s="6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</row>
    <row r="876">
      <c r="C876" s="6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</row>
    <row r="877">
      <c r="C877" s="6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</row>
    <row r="878">
      <c r="C878" s="6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</row>
    <row r="879">
      <c r="C879" s="6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</row>
    <row r="880">
      <c r="C880" s="6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</row>
    <row r="881">
      <c r="C881" s="6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</row>
    <row r="882">
      <c r="C882" s="6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</row>
    <row r="883">
      <c r="C883" s="6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</row>
    <row r="884">
      <c r="C884" s="6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</row>
    <row r="885">
      <c r="C885" s="6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</row>
    <row r="886">
      <c r="C886" s="6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</row>
    <row r="887">
      <c r="C887" s="6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</row>
    <row r="888">
      <c r="C888" s="6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</row>
    <row r="889">
      <c r="C889" s="6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</row>
    <row r="890">
      <c r="C890" s="6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</row>
    <row r="891">
      <c r="C891" s="6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</row>
    <row r="892">
      <c r="C892" s="6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</row>
    <row r="893">
      <c r="C893" s="6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</row>
    <row r="894">
      <c r="C894" s="6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</row>
    <row r="895">
      <c r="C895" s="6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</row>
    <row r="896">
      <c r="C896" s="6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</row>
    <row r="897">
      <c r="C897" s="6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</row>
    <row r="898">
      <c r="C898" s="6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</row>
    <row r="899">
      <c r="C899" s="6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</row>
    <row r="900">
      <c r="C900" s="6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</row>
    <row r="901">
      <c r="C901" s="6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</row>
    <row r="902">
      <c r="C902" s="6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</row>
    <row r="903">
      <c r="C903" s="6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</row>
    <row r="904">
      <c r="C904" s="6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</row>
    <row r="905">
      <c r="C905" s="6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</row>
    <row r="906">
      <c r="C906" s="6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</row>
    <row r="907">
      <c r="C907" s="6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</row>
    <row r="908">
      <c r="C908" s="6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</row>
    <row r="909">
      <c r="C909" s="6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</row>
    <row r="910">
      <c r="C910" s="6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</row>
    <row r="911">
      <c r="C911" s="6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</row>
    <row r="912">
      <c r="C912" s="6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</row>
    <row r="913">
      <c r="C913" s="6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</row>
    <row r="914">
      <c r="C914" s="6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</row>
    <row r="915">
      <c r="C915" s="6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</row>
    <row r="916">
      <c r="C916" s="6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</row>
    <row r="917">
      <c r="C917" s="6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</row>
    <row r="918">
      <c r="C918" s="6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</row>
    <row r="919">
      <c r="C919" s="6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</row>
    <row r="920">
      <c r="C920" s="6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</row>
    <row r="921">
      <c r="C921" s="6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</row>
    <row r="922">
      <c r="C922" s="6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</row>
    <row r="923">
      <c r="C923" s="6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</row>
    <row r="924">
      <c r="C924" s="6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</row>
    <row r="925">
      <c r="C925" s="6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</row>
    <row r="926">
      <c r="C926" s="6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</row>
    <row r="927">
      <c r="C927" s="6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</row>
    <row r="928">
      <c r="C928" s="6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</row>
    <row r="929">
      <c r="C929" s="6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</row>
    <row r="930">
      <c r="C930" s="6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</row>
    <row r="931">
      <c r="C931" s="6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</row>
    <row r="932">
      <c r="C932" s="6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</row>
    <row r="933">
      <c r="C933" s="6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</row>
    <row r="934">
      <c r="C934" s="6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</row>
    <row r="935">
      <c r="C935" s="6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</row>
    <row r="936">
      <c r="C936" s="6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</row>
    <row r="937">
      <c r="C937" s="6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</row>
    <row r="938">
      <c r="C938" s="6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</row>
    <row r="939">
      <c r="C939" s="6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</row>
    <row r="940">
      <c r="C940" s="6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</row>
    <row r="941">
      <c r="C941" s="6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</row>
    <row r="942">
      <c r="C942" s="6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</row>
    <row r="943">
      <c r="C943" s="6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</row>
    <row r="944">
      <c r="C944" s="6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</row>
    <row r="945">
      <c r="C945" s="6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</row>
    <row r="946">
      <c r="C946" s="6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</row>
    <row r="947">
      <c r="C947" s="6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</row>
    <row r="948">
      <c r="C948" s="6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</row>
    <row r="949">
      <c r="C949" s="6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</row>
    <row r="950">
      <c r="C950" s="6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</row>
    <row r="951">
      <c r="C951" s="6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</row>
    <row r="952">
      <c r="C952" s="6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</row>
    <row r="953">
      <c r="C953" s="6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</row>
    <row r="954">
      <c r="C954" s="6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</row>
    <row r="955">
      <c r="C955" s="6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</row>
    <row r="956">
      <c r="C956" s="6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</row>
    <row r="957">
      <c r="C957" s="6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</row>
    <row r="958">
      <c r="C958" s="6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</row>
    <row r="959">
      <c r="C959" s="6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</row>
    <row r="960">
      <c r="C960" s="6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</row>
    <row r="961">
      <c r="C961" s="6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</row>
    <row r="962">
      <c r="C962" s="6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</row>
    <row r="963">
      <c r="C963" s="6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</row>
    <row r="964">
      <c r="C964" s="6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</row>
    <row r="965">
      <c r="C965" s="6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</row>
    <row r="966">
      <c r="C966" s="6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</row>
    <row r="967">
      <c r="C967" s="6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</row>
    <row r="968">
      <c r="C968" s="6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</row>
    <row r="969">
      <c r="C969" s="6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</row>
    <row r="970">
      <c r="C970" s="6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</row>
    <row r="971">
      <c r="C971" s="6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</row>
    <row r="972">
      <c r="C972" s="6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</row>
    <row r="973">
      <c r="C973" s="6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</row>
    <row r="974">
      <c r="C974" s="6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</row>
    <row r="975">
      <c r="C975" s="6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</row>
    <row r="976">
      <c r="C976" s="6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</row>
    <row r="977">
      <c r="C977" s="6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</row>
    <row r="978">
      <c r="C978" s="6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</row>
    <row r="979">
      <c r="C979" s="6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</row>
    <row r="980">
      <c r="C980" s="6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</row>
    <row r="981">
      <c r="C981" s="6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</row>
    <row r="982">
      <c r="C982" s="6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</row>
    <row r="983">
      <c r="C983" s="6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</row>
    <row r="984">
      <c r="C984" s="6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</row>
    <row r="985">
      <c r="C985" s="6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</row>
    <row r="986">
      <c r="C986" s="6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</row>
    <row r="987">
      <c r="C987" s="6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</row>
    <row r="988">
      <c r="C988" s="6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</row>
    <row r="989">
      <c r="C989" s="6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</row>
    <row r="990">
      <c r="C990" s="6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</row>
    <row r="991">
      <c r="C991" s="6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</row>
    <row r="992">
      <c r="C992" s="6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</row>
    <row r="993">
      <c r="C993" s="6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</row>
    <row r="994">
      <c r="C994" s="6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</row>
    <row r="995">
      <c r="C995" s="6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</row>
    <row r="996">
      <c r="C996" s="6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</row>
    <row r="997">
      <c r="C997" s="6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</row>
    <row r="998">
      <c r="C998" s="6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</row>
    <row r="999">
      <c r="C999" s="6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</row>
    <row r="1000">
      <c r="C1000" s="6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</row>
    <row r="1001">
      <c r="C1001" s="6"/>
      <c r="D1001" s="133"/>
      <c r="E1001" s="133"/>
      <c r="F1001" s="133"/>
      <c r="G1001" s="133"/>
      <c r="H1001" s="133"/>
      <c r="I1001" s="133"/>
      <c r="J1001" s="133"/>
      <c r="K1001" s="133"/>
      <c r="L1001" s="133"/>
      <c r="M1001" s="133"/>
      <c r="N1001" s="133"/>
      <c r="O1001" s="133"/>
      <c r="P1001" s="133"/>
      <c r="Q1001" s="133"/>
      <c r="R1001" s="133"/>
      <c r="S1001" s="133"/>
      <c r="T1001" s="133"/>
      <c r="U1001" s="133"/>
      <c r="V1001" s="133"/>
      <c r="W1001" s="133"/>
    </row>
    <row r="1002">
      <c r="C1002" s="6"/>
      <c r="D1002" s="133"/>
      <c r="E1002" s="133"/>
      <c r="F1002" s="133"/>
      <c r="G1002" s="133"/>
      <c r="H1002" s="133"/>
      <c r="I1002" s="133"/>
      <c r="J1002" s="133"/>
      <c r="K1002" s="133"/>
      <c r="L1002" s="133"/>
      <c r="M1002" s="133"/>
      <c r="N1002" s="133"/>
      <c r="O1002" s="133"/>
      <c r="P1002" s="133"/>
      <c r="Q1002" s="133"/>
      <c r="R1002" s="133"/>
      <c r="S1002" s="133"/>
      <c r="T1002" s="133"/>
      <c r="U1002" s="133"/>
      <c r="V1002" s="133"/>
      <c r="W1002" s="133"/>
    </row>
    <row r="1003">
      <c r="C1003" s="6"/>
      <c r="D1003" s="133"/>
      <c r="E1003" s="133"/>
      <c r="F1003" s="133"/>
      <c r="G1003" s="133"/>
      <c r="H1003" s="133"/>
      <c r="I1003" s="133"/>
      <c r="J1003" s="133"/>
      <c r="K1003" s="133"/>
      <c r="L1003" s="133"/>
      <c r="M1003" s="133"/>
      <c r="N1003" s="133"/>
      <c r="O1003" s="133"/>
      <c r="P1003" s="133"/>
      <c r="Q1003" s="133"/>
      <c r="R1003" s="133"/>
      <c r="S1003" s="133"/>
      <c r="T1003" s="133"/>
      <c r="U1003" s="133"/>
      <c r="V1003" s="133"/>
      <c r="W1003" s="133"/>
    </row>
    <row r="1004">
      <c r="C1004" s="6"/>
      <c r="D1004" s="133"/>
      <c r="E1004" s="133"/>
      <c r="F1004" s="133"/>
      <c r="G1004" s="133"/>
      <c r="H1004" s="133"/>
      <c r="I1004" s="133"/>
      <c r="J1004" s="133"/>
      <c r="K1004" s="133"/>
      <c r="L1004" s="133"/>
      <c r="M1004" s="133"/>
      <c r="N1004" s="133"/>
      <c r="O1004" s="133"/>
      <c r="P1004" s="133"/>
      <c r="Q1004" s="133"/>
      <c r="R1004" s="133"/>
      <c r="S1004" s="133"/>
      <c r="T1004" s="133"/>
      <c r="U1004" s="133"/>
      <c r="V1004" s="133"/>
      <c r="W1004" s="133"/>
    </row>
    <row r="1005">
      <c r="C1005" s="6"/>
      <c r="D1005" s="133"/>
      <c r="E1005" s="133"/>
      <c r="F1005" s="133"/>
      <c r="G1005" s="133"/>
      <c r="H1005" s="133"/>
      <c r="I1005" s="133"/>
      <c r="J1005" s="133"/>
      <c r="K1005" s="133"/>
      <c r="L1005" s="133"/>
      <c r="M1005" s="133"/>
      <c r="N1005" s="133"/>
      <c r="O1005" s="133"/>
      <c r="P1005" s="133"/>
      <c r="Q1005" s="133"/>
      <c r="R1005" s="133"/>
      <c r="S1005" s="133"/>
      <c r="T1005" s="133"/>
      <c r="U1005" s="133"/>
      <c r="V1005" s="133"/>
      <c r="W1005" s="133"/>
    </row>
    <row r="1006">
      <c r="C1006" s="6"/>
      <c r="D1006" s="133"/>
      <c r="E1006" s="133"/>
      <c r="F1006" s="133"/>
      <c r="G1006" s="133"/>
      <c r="H1006" s="133"/>
      <c r="I1006" s="133"/>
      <c r="J1006" s="133"/>
      <c r="K1006" s="133"/>
      <c r="L1006" s="133"/>
      <c r="M1006" s="133"/>
      <c r="N1006" s="133"/>
      <c r="O1006" s="133"/>
      <c r="P1006" s="133"/>
      <c r="Q1006" s="133"/>
      <c r="R1006" s="133"/>
      <c r="S1006" s="133"/>
      <c r="T1006" s="133"/>
      <c r="U1006" s="133"/>
      <c r="V1006" s="133"/>
      <c r="W1006" s="133"/>
    </row>
    <row r="1007">
      <c r="C1007" s="6"/>
      <c r="D1007" s="133"/>
      <c r="E1007" s="133"/>
      <c r="F1007" s="133"/>
      <c r="G1007" s="133"/>
      <c r="H1007" s="133"/>
      <c r="I1007" s="133"/>
      <c r="J1007" s="133"/>
      <c r="K1007" s="133"/>
      <c r="L1007" s="133"/>
      <c r="M1007" s="133"/>
      <c r="N1007" s="133"/>
      <c r="O1007" s="133"/>
      <c r="P1007" s="133"/>
      <c r="Q1007" s="133"/>
      <c r="R1007" s="133"/>
      <c r="S1007" s="133"/>
      <c r="T1007" s="133"/>
      <c r="U1007" s="133"/>
      <c r="V1007" s="133"/>
      <c r="W1007" s="133"/>
    </row>
    <row r="1008">
      <c r="C1008" s="6"/>
      <c r="D1008" s="133"/>
      <c r="E1008" s="133"/>
      <c r="F1008" s="133"/>
      <c r="G1008" s="133"/>
      <c r="H1008" s="133"/>
      <c r="I1008" s="133"/>
      <c r="J1008" s="133"/>
      <c r="K1008" s="133"/>
      <c r="L1008" s="133"/>
      <c r="M1008" s="133"/>
      <c r="N1008" s="133"/>
      <c r="O1008" s="133"/>
      <c r="P1008" s="133"/>
      <c r="Q1008" s="133"/>
      <c r="R1008" s="133"/>
      <c r="S1008" s="133"/>
      <c r="T1008" s="133"/>
      <c r="U1008" s="133"/>
      <c r="V1008" s="133"/>
      <c r="W1008" s="133"/>
    </row>
    <row r="1009">
      <c r="C1009" s="6"/>
      <c r="D1009" s="133"/>
      <c r="E1009" s="133"/>
      <c r="F1009" s="133"/>
      <c r="G1009" s="133"/>
      <c r="H1009" s="133"/>
      <c r="I1009" s="133"/>
      <c r="J1009" s="133"/>
      <c r="K1009" s="133"/>
      <c r="L1009" s="133"/>
      <c r="M1009" s="133"/>
      <c r="N1009" s="133"/>
      <c r="O1009" s="133"/>
      <c r="P1009" s="133"/>
      <c r="Q1009" s="133"/>
      <c r="R1009" s="133"/>
      <c r="S1009" s="133"/>
      <c r="T1009" s="133"/>
      <c r="U1009" s="133"/>
      <c r="V1009" s="133"/>
      <c r="W1009" s="133"/>
    </row>
  </sheetData>
  <autoFilter ref="$AA$6:$AA$34"/>
  <mergeCells count="20">
    <mergeCell ref="Y1:AR3"/>
    <mergeCell ref="AT1:AZ3"/>
    <mergeCell ref="BB1:BW3"/>
    <mergeCell ref="X2:X3"/>
    <mergeCell ref="AS2:AS3"/>
    <mergeCell ref="BA2:BA3"/>
    <mergeCell ref="BX2:BX3"/>
    <mergeCell ref="E41:AV41"/>
    <mergeCell ref="E42:AV42"/>
    <mergeCell ref="E43:AV43"/>
    <mergeCell ref="E44:AV44"/>
    <mergeCell ref="E45:AV45"/>
    <mergeCell ref="E46:AV46"/>
    <mergeCell ref="D1:W3"/>
    <mergeCell ref="E35:I35"/>
    <mergeCell ref="E36:AV36"/>
    <mergeCell ref="E37:AV37"/>
    <mergeCell ref="E38:AV38"/>
    <mergeCell ref="E39:AV39"/>
    <mergeCell ref="E40:AV40"/>
  </mergeCells>
  <conditionalFormatting sqref="AJ16:AJ17 AL16 AN16 AP16 AR16">
    <cfRule type="notContainsBlanks" dxfId="5" priority="1">
      <formula>LEN(TRIM(AJ16))&gt;0</formula>
    </cfRule>
  </conditionalFormatting>
  <conditionalFormatting sqref="D5:D34 E5:J37 K5:K34 L5:AK37 AL5:AL34 AM5:AZ37 BB5:BW37 BA21 BX21 BA27 BX27">
    <cfRule type="cellIs" dxfId="3" priority="2" operator="equal">
      <formula>"P"</formula>
    </cfRule>
  </conditionalFormatting>
  <conditionalFormatting sqref="D5:D34 E5:J37 K5:K34 L5:AK37 AL5:AL34 AM5:AZ37 BB5:BW37 BA21 BX21 BA27 BX27">
    <cfRule type="cellIs" dxfId="4" priority="3" operator="equal">
      <formula>"F"</formula>
    </cfRule>
  </conditionalFormatting>
  <dataValidations>
    <dataValidation type="list" allowBlank="1" showDropDown="1" sqref="AA5:AB5 AD5 AF5 AI5 AK5 AN5 AP5 AX5 BF5 BH5:BN5 BR5 AA6:AI6 AV6 AK6:AP8 AK9:AN9 AP9 J6:K10 O6:P10 R6:R10 AA7:AF10 AH7:AI10 AK10:AP10 AX6:AZ10 BB6:BD10 BF6:BI10 BK6:BR10 U5:U11 AA11:AB11 AD11 AF11 AI11 AK11 AN11 AP11 AX11 BF11 BH11:BI11 BK11:BN11 BR11 O12:P12 U12:V12 AA12:AF12 AH12:AI12 AK12:AP12 AR5:AR12 AT5:AT12 AX12:AZ12 BB12:BD12 BF12:BI12 BK12:BR12 M13:P13 AH13:AR13 AT13:AZ13 BE13:BW13 J12:K14 O14:P14 R12:R14 AD13:AF14 AH14:AI14 AK14:AP14 AX14:AZ14 BB14:BD14 BF14:BI14 BK14:BR14 AA13:AB15 AD15 AF15 AI15 AN15 AX15 BF15 BH15:BI15 BK15:BN15 BR15 AK15:AK16 AM16:AN16 AP15:AP16 AK17:AP17 AK18:AK19 AM18:AP19 J16:K20 O16:P20 R16:R20 AA16:AF20 AH16:AI20 AK20:AP20 AX16:AZ20 BB16:BD20 BF16:BI20 BK16:BR20 AA21:AB21 AD21 AF21 AI21 AK21 AN21 AX21 BF21 BH21:BI21 BK21:BN21 BR21 AA22:AF23 AK22:AN23 AA24:AB24 AD24:AF24 AK24 AM24:AN24 O22:P25 AA25:AF25 AK25:AN25 BK22:BR25 J22:K26 N26:P26 R22:R26 AD26:AF26 AH22:AI26 AK26:AL26 AX22:AZ26 BB22:BD26 BF22:BI26 BK26:BO26 BR26 AA26:AB27 AD27 AF27 AI27 AK27 AN26:AN27 AP21:AP27 AX27 BF27 BH27:BI27 BK27:BN27 BP27:BR27 AA28:AF28 AA29:AB29 AD29:AF29 AK28:AP29 AK30 AM30:AP30 AK31:AP31 J28:K32 O28:P32 R28:R32 U13:U32 AA30:AF32 AH28:AI32 AK32:AN32 AP32 AR14:AR32 AT14:AT32 AX28:AZ32 BB28:BD32 BF28:BI32 BK28:BR32">
      <formula1>"-,P,F"</formula1>
    </dataValidation>
    <dataValidation type="custom" allowBlank="1" showDropDown="1" sqref="B7 C8 B10 B31">
      <formula1>OR(NOT(ISERROR(DATEVALUE(B7))), AND(ISNUMBER(B7), LEFT(CELL("format", B7))="D"))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0"/>
    <col customWidth="1" min="2" max="2" width="36.0"/>
    <col customWidth="1" min="4" max="23" width="2.63"/>
    <col customWidth="1" min="24" max="24" width="7.75"/>
    <col customWidth="1" min="25" max="44" width="2.63"/>
    <col customWidth="1" min="45" max="45" width="7.13"/>
    <col customWidth="1" min="46" max="52" width="2.63"/>
    <col customWidth="1" min="53" max="53" width="7.25"/>
    <col customWidth="1" min="54" max="75" width="2.63"/>
    <col customWidth="1" min="76" max="76" width="8.25"/>
    <col customWidth="1" min="77" max="94" width="2.63"/>
  </cols>
  <sheetData>
    <row r="1">
      <c r="A1" s="1" t="s">
        <v>0</v>
      </c>
      <c r="B1" s="1"/>
      <c r="C1" s="1"/>
      <c r="D1" s="2" t="s">
        <v>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 t="s">
        <v>2</v>
      </c>
      <c r="Y1" s="2" t="s">
        <v>7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4"/>
      <c r="AS1" s="5" t="s">
        <v>2</v>
      </c>
      <c r="AT1" s="2" t="s">
        <v>8</v>
      </c>
      <c r="AU1" s="3"/>
      <c r="AV1" s="3"/>
      <c r="AW1" s="3"/>
      <c r="AX1" s="3"/>
      <c r="AY1" s="3"/>
      <c r="AZ1" s="4"/>
      <c r="BA1" s="5" t="s">
        <v>2</v>
      </c>
      <c r="BB1" s="2" t="s">
        <v>9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4"/>
      <c r="BX1" s="5" t="s">
        <v>2</v>
      </c>
    </row>
    <row r="2">
      <c r="C2" s="6"/>
      <c r="D2" s="7"/>
      <c r="W2" s="8"/>
      <c r="X2" s="9">
        <f>COUNT(D4:Q4)</f>
        <v>14</v>
      </c>
      <c r="Y2" s="7"/>
      <c r="AR2" s="8"/>
      <c r="AS2" s="9">
        <f>COUNT(Y4:AR4)</f>
        <v>20</v>
      </c>
      <c r="AT2" s="7"/>
      <c r="AZ2" s="8"/>
      <c r="BA2" s="9">
        <f>COUNT(AT4:AZ4)</f>
        <v>7</v>
      </c>
      <c r="BB2" s="7"/>
      <c r="BW2" s="8"/>
      <c r="BX2" s="9">
        <f>COUNT(BB4:BQ4)</f>
        <v>16</v>
      </c>
    </row>
    <row r="3">
      <c r="C3" s="6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4"/>
      <c r="X3" s="15"/>
      <c r="Y3" s="12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4"/>
      <c r="AS3" s="15"/>
      <c r="AT3" s="12"/>
      <c r="AU3" s="13"/>
      <c r="AV3" s="13"/>
      <c r="AW3" s="13"/>
      <c r="AX3" s="13"/>
      <c r="AY3" s="13"/>
      <c r="AZ3" s="14"/>
      <c r="BA3" s="15"/>
      <c r="BB3" s="12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4"/>
      <c r="BX3" s="15"/>
    </row>
    <row r="4">
      <c r="A4" s="16" t="s">
        <v>10</v>
      </c>
      <c r="B4" s="17" t="s">
        <v>11</v>
      </c>
      <c r="C4" s="16" t="s">
        <v>14</v>
      </c>
      <c r="D4" s="18">
        <v>4.0</v>
      </c>
      <c r="E4" s="18">
        <v>5.0</v>
      </c>
      <c r="F4" s="18">
        <v>6.0</v>
      </c>
      <c r="G4" s="18">
        <v>7.0</v>
      </c>
      <c r="H4" s="18">
        <v>8.0</v>
      </c>
      <c r="I4" s="18">
        <v>11.0</v>
      </c>
      <c r="J4" s="18">
        <v>12.0</v>
      </c>
      <c r="K4" s="18">
        <v>13.0</v>
      </c>
      <c r="L4" s="18">
        <v>14.0</v>
      </c>
      <c r="M4" s="18">
        <v>15.0</v>
      </c>
      <c r="N4" s="18">
        <v>18.0</v>
      </c>
      <c r="O4" s="18">
        <v>19.0</v>
      </c>
      <c r="P4" s="18">
        <v>20.0</v>
      </c>
      <c r="Q4" s="18">
        <v>21.0</v>
      </c>
      <c r="R4" s="18">
        <v>22.0</v>
      </c>
      <c r="S4" s="18">
        <v>25.0</v>
      </c>
      <c r="T4" s="18">
        <v>26.0</v>
      </c>
      <c r="U4" s="18">
        <v>27.0</v>
      </c>
      <c r="V4" s="18">
        <v>28.0</v>
      </c>
      <c r="W4" s="18">
        <v>29.0</v>
      </c>
      <c r="X4" s="19" t="s">
        <v>13</v>
      </c>
      <c r="Y4" s="18">
        <v>1.0</v>
      </c>
      <c r="Z4" s="18">
        <v>2.0</v>
      </c>
      <c r="AA4" s="18">
        <v>3.0</v>
      </c>
      <c r="AB4" s="18">
        <v>8.0</v>
      </c>
      <c r="AC4" s="18">
        <v>9.0</v>
      </c>
      <c r="AD4" s="18">
        <v>10.0</v>
      </c>
      <c r="AE4" s="18">
        <v>11.0</v>
      </c>
      <c r="AF4" s="18">
        <v>12.0</v>
      </c>
      <c r="AG4" s="18">
        <v>15.0</v>
      </c>
      <c r="AH4" s="18">
        <v>16.0</v>
      </c>
      <c r="AI4" s="18">
        <v>17.0</v>
      </c>
      <c r="AJ4" s="18">
        <v>18.0</v>
      </c>
      <c r="AK4" s="18">
        <v>19.0</v>
      </c>
      <c r="AL4" s="16">
        <v>22.0</v>
      </c>
      <c r="AM4" s="18">
        <v>23.0</v>
      </c>
      <c r="AN4" s="18">
        <v>24.0</v>
      </c>
      <c r="AO4" s="18">
        <v>25.0</v>
      </c>
      <c r="AP4" s="18">
        <v>26.0</v>
      </c>
      <c r="AQ4" s="18">
        <v>29.0</v>
      </c>
      <c r="AR4" s="18">
        <v>30.0</v>
      </c>
      <c r="AS4" s="19" t="s">
        <v>13</v>
      </c>
      <c r="AT4" s="18">
        <v>1.0</v>
      </c>
      <c r="AU4" s="18">
        <v>2.0</v>
      </c>
      <c r="AV4" s="18">
        <v>3.0</v>
      </c>
      <c r="AW4" s="18">
        <v>28.0</v>
      </c>
      <c r="AX4" s="18">
        <v>29.0</v>
      </c>
      <c r="AY4" s="18">
        <v>30.0</v>
      </c>
      <c r="AZ4" s="18">
        <v>31.0</v>
      </c>
      <c r="BA4" s="19" t="s">
        <v>13</v>
      </c>
      <c r="BB4" s="18">
        <v>3.0</v>
      </c>
      <c r="BC4" s="18">
        <v>4.0</v>
      </c>
      <c r="BD4" s="18">
        <v>5.0</v>
      </c>
      <c r="BE4" s="18">
        <v>6.0</v>
      </c>
      <c r="BF4" s="18">
        <v>7.0</v>
      </c>
      <c r="BG4" s="18">
        <v>10.0</v>
      </c>
      <c r="BH4" s="18">
        <v>11.0</v>
      </c>
      <c r="BI4" s="18">
        <v>12.0</v>
      </c>
      <c r="BJ4" s="18">
        <v>13.0</v>
      </c>
      <c r="BK4" s="18">
        <v>14.0</v>
      </c>
      <c r="BL4" s="18">
        <v>17.0</v>
      </c>
      <c r="BM4" s="18">
        <v>18.0</v>
      </c>
      <c r="BN4" s="18">
        <v>19.0</v>
      </c>
      <c r="BO4" s="18">
        <v>20.0</v>
      </c>
      <c r="BP4" s="18">
        <v>21.0</v>
      </c>
      <c r="BQ4" s="18">
        <v>22.0</v>
      </c>
      <c r="BR4" s="18">
        <v>24.0</v>
      </c>
      <c r="BS4" s="18">
        <v>25.0</v>
      </c>
      <c r="BT4" s="18">
        <v>26.0</v>
      </c>
      <c r="BU4" s="18">
        <v>27.0</v>
      </c>
      <c r="BV4" s="18">
        <v>28.0</v>
      </c>
      <c r="BW4" s="18">
        <v>31.0</v>
      </c>
      <c r="BX4" s="19" t="s">
        <v>13</v>
      </c>
    </row>
    <row r="5">
      <c r="A5" s="24">
        <v>1.0</v>
      </c>
      <c r="B5" s="25"/>
      <c r="C5" s="26"/>
      <c r="D5" s="27" t="s">
        <v>15</v>
      </c>
      <c r="E5" s="28" t="s">
        <v>15</v>
      </c>
      <c r="F5" s="27" t="s">
        <v>15</v>
      </c>
      <c r="G5" s="27" t="s">
        <v>15</v>
      </c>
      <c r="H5" s="27" t="s">
        <v>15</v>
      </c>
      <c r="I5" s="27" t="s">
        <v>15</v>
      </c>
      <c r="J5" s="27" t="s">
        <v>15</v>
      </c>
      <c r="K5" s="27" t="s">
        <v>15</v>
      </c>
      <c r="L5" s="29" t="s">
        <v>16</v>
      </c>
      <c r="M5" s="29" t="s">
        <v>15</v>
      </c>
      <c r="N5" s="29" t="s">
        <v>15</v>
      </c>
      <c r="O5" s="29" t="s">
        <v>15</v>
      </c>
      <c r="P5" s="29" t="s">
        <v>15</v>
      </c>
      <c r="Q5" s="29" t="s">
        <v>15</v>
      </c>
      <c r="R5" s="29" t="s">
        <v>15</v>
      </c>
      <c r="S5" s="29" t="s">
        <v>15</v>
      </c>
      <c r="T5" s="29" t="s">
        <v>15</v>
      </c>
      <c r="U5" s="29" t="s">
        <v>15</v>
      </c>
      <c r="V5" s="29" t="s">
        <v>15</v>
      </c>
      <c r="W5" s="29" t="s">
        <v>15</v>
      </c>
      <c r="X5" s="34">
        <f t="shared" ref="X5:X30" si="1">IFERROR(COUNTIF(D5:W5,"P")/(COUNTIF(D5:W5,"P")+COUNTIF(D5:W5,"F")), "0,00%")</f>
        <v>0.95</v>
      </c>
      <c r="Y5" s="29" t="s">
        <v>15</v>
      </c>
      <c r="Z5" s="29" t="s">
        <v>15</v>
      </c>
      <c r="AA5" s="29" t="s">
        <v>15</v>
      </c>
      <c r="AB5" s="29" t="s">
        <v>15</v>
      </c>
      <c r="AC5" s="36" t="s">
        <v>15</v>
      </c>
      <c r="AD5" s="29" t="s">
        <v>15</v>
      </c>
      <c r="AE5" s="29" t="s">
        <v>15</v>
      </c>
      <c r="AF5" s="29" t="s">
        <v>15</v>
      </c>
      <c r="AG5" s="29" t="s">
        <v>16</v>
      </c>
      <c r="AH5" s="29" t="s">
        <v>16</v>
      </c>
      <c r="AI5" s="29" t="s">
        <v>15</v>
      </c>
      <c r="AJ5" s="29" t="s">
        <v>15</v>
      </c>
      <c r="AK5" s="29" t="s">
        <v>15</v>
      </c>
      <c r="AL5" s="29" t="s">
        <v>16</v>
      </c>
      <c r="AM5" s="39" t="s">
        <v>15</v>
      </c>
      <c r="AN5" s="29" t="s">
        <v>16</v>
      </c>
      <c r="AO5" s="39" t="s">
        <v>15</v>
      </c>
      <c r="AP5" s="29" t="s">
        <v>15</v>
      </c>
      <c r="AQ5" s="29" t="s">
        <v>15</v>
      </c>
      <c r="AR5" s="29" t="s">
        <v>15</v>
      </c>
      <c r="AS5" s="34">
        <f t="shared" ref="AS5:AS31" si="2">IFERROR(COUNTIF(Y5:AR5,"P")/(COUNTIF(Y5:AR5,"P")+COUNTIF(Y5:AR5,"F")), "0,00%")</f>
        <v>0.8</v>
      </c>
      <c r="AT5" s="29" t="s">
        <v>15</v>
      </c>
      <c r="AU5" s="29" t="s">
        <v>15</v>
      </c>
      <c r="AV5" s="29" t="s">
        <v>15</v>
      </c>
      <c r="AW5" s="29" t="s">
        <v>15</v>
      </c>
      <c r="AX5" s="29" t="s">
        <v>15</v>
      </c>
      <c r="AY5" s="29" t="s">
        <v>15</v>
      </c>
      <c r="AZ5" s="29" t="s">
        <v>15</v>
      </c>
      <c r="BA5" s="34">
        <f t="shared" ref="BA5:BA23" si="3">IFERROR(COUNTIF(AT5:AZ5,"P")/(COUNTIF(AT5:AZ5,"P")+COUNTIF(AT5:AZ5,"F")), "0,00%")</f>
        <v>1</v>
      </c>
      <c r="BB5" s="29" t="s">
        <v>15</v>
      </c>
      <c r="BC5" s="29" t="s">
        <v>16</v>
      </c>
      <c r="BD5" s="29" t="s">
        <v>15</v>
      </c>
      <c r="BE5" s="29" t="s">
        <v>15</v>
      </c>
      <c r="BF5" s="29"/>
      <c r="BG5" s="29" t="s">
        <v>15</v>
      </c>
      <c r="BH5" s="29" t="s">
        <v>16</v>
      </c>
      <c r="BI5" s="29" t="s">
        <v>15</v>
      </c>
      <c r="BJ5" s="29" t="s">
        <v>15</v>
      </c>
      <c r="BK5" s="29" t="s">
        <v>15</v>
      </c>
      <c r="BL5" s="29" t="s">
        <v>15</v>
      </c>
      <c r="BM5" s="29" t="s">
        <v>15</v>
      </c>
      <c r="BN5" s="43" t="s">
        <v>15</v>
      </c>
      <c r="BO5" s="43" t="s">
        <v>15</v>
      </c>
      <c r="BP5" s="44" t="s">
        <v>15</v>
      </c>
      <c r="BQ5" s="29"/>
      <c r="BR5" s="29"/>
      <c r="BS5" s="29" t="s">
        <v>16</v>
      </c>
      <c r="BT5" s="29"/>
      <c r="BU5" s="29"/>
      <c r="BV5" s="29" t="s">
        <v>16</v>
      </c>
      <c r="BW5" s="45" t="s">
        <v>15</v>
      </c>
      <c r="BX5" s="22">
        <f t="shared" ref="BX5:BX23" si="4">IFERROR(COUNTIF(BB5:BW5,"P")/(COUNTIF(BB5:BW5,"P")+COUNTIF(BB5:BW5,"F")), "0,00%")</f>
        <v>0.7647058824</v>
      </c>
    </row>
    <row r="6">
      <c r="A6" s="24">
        <v>2.0</v>
      </c>
      <c r="B6" s="46"/>
      <c r="C6" s="26"/>
      <c r="D6" s="27" t="s">
        <v>15</v>
      </c>
      <c r="E6" s="29" t="s">
        <v>16</v>
      </c>
      <c r="F6" s="47" t="s">
        <v>16</v>
      </c>
      <c r="G6" s="27" t="s">
        <v>15</v>
      </c>
      <c r="H6" s="27" t="s">
        <v>15</v>
      </c>
      <c r="I6" s="27" t="s">
        <v>15</v>
      </c>
      <c r="J6" s="27" t="s">
        <v>15</v>
      </c>
      <c r="K6" s="27" t="s">
        <v>15</v>
      </c>
      <c r="L6" s="29" t="s">
        <v>15</v>
      </c>
      <c r="M6" s="29" t="s">
        <v>16</v>
      </c>
      <c r="N6" s="29" t="s">
        <v>15</v>
      </c>
      <c r="O6" s="29" t="s">
        <v>15</v>
      </c>
      <c r="P6" s="29" t="s">
        <v>15</v>
      </c>
      <c r="Q6" s="29" t="s">
        <v>15</v>
      </c>
      <c r="R6" s="29" t="s">
        <v>15</v>
      </c>
      <c r="S6" s="29" t="s">
        <v>15</v>
      </c>
      <c r="T6" s="29" t="s">
        <v>15</v>
      </c>
      <c r="U6" s="29" t="s">
        <v>15</v>
      </c>
      <c r="V6" s="29" t="s">
        <v>16</v>
      </c>
      <c r="W6" s="29" t="s">
        <v>15</v>
      </c>
      <c r="X6" s="34">
        <f t="shared" si="1"/>
        <v>0.8</v>
      </c>
      <c r="Y6" s="29" t="s">
        <v>15</v>
      </c>
      <c r="Z6" s="29" t="s">
        <v>15</v>
      </c>
      <c r="AA6" s="29" t="s">
        <v>15</v>
      </c>
      <c r="AB6" s="29" t="s">
        <v>15</v>
      </c>
      <c r="AC6" s="36" t="s">
        <v>15</v>
      </c>
      <c r="AD6" s="29" t="s">
        <v>16</v>
      </c>
      <c r="AE6" s="29" t="s">
        <v>15</v>
      </c>
      <c r="AF6" s="29" t="s">
        <v>16</v>
      </c>
      <c r="AG6" s="29" t="s">
        <v>15</v>
      </c>
      <c r="AH6" s="29" t="s">
        <v>15</v>
      </c>
      <c r="AI6" s="29" t="s">
        <v>15</v>
      </c>
      <c r="AJ6" s="29" t="s">
        <v>15</v>
      </c>
      <c r="AK6" s="29" t="s">
        <v>15</v>
      </c>
      <c r="AL6" s="29" t="s">
        <v>16</v>
      </c>
      <c r="AM6" s="39" t="s">
        <v>15</v>
      </c>
      <c r="AN6" s="29" t="s">
        <v>16</v>
      </c>
      <c r="AO6" s="39" t="s">
        <v>15</v>
      </c>
      <c r="AP6" s="29" t="s">
        <v>15</v>
      </c>
      <c r="AQ6" s="29" t="s">
        <v>16</v>
      </c>
      <c r="AR6" s="29" t="s">
        <v>16</v>
      </c>
      <c r="AS6" s="34">
        <f t="shared" si="2"/>
        <v>0.7</v>
      </c>
      <c r="AT6" s="29" t="s">
        <v>16</v>
      </c>
      <c r="AU6" s="29" t="s">
        <v>15</v>
      </c>
      <c r="AV6" s="29" t="s">
        <v>15</v>
      </c>
      <c r="AW6" s="29" t="s">
        <v>16</v>
      </c>
      <c r="AX6" s="29" t="s">
        <v>15</v>
      </c>
      <c r="AY6" s="29" t="s">
        <v>15</v>
      </c>
      <c r="AZ6" s="29" t="s">
        <v>15</v>
      </c>
      <c r="BA6" s="34">
        <f t="shared" si="3"/>
        <v>0.7142857143</v>
      </c>
      <c r="BB6" s="29" t="s">
        <v>15</v>
      </c>
      <c r="BC6" s="29" t="s">
        <v>15</v>
      </c>
      <c r="BD6" s="29" t="s">
        <v>16</v>
      </c>
      <c r="BE6" s="29" t="s">
        <v>16</v>
      </c>
      <c r="BF6" s="29"/>
      <c r="BG6" s="29" t="s">
        <v>15</v>
      </c>
      <c r="BH6" s="29" t="s">
        <v>16</v>
      </c>
      <c r="BI6" s="29" t="s">
        <v>15</v>
      </c>
      <c r="BJ6" s="29" t="s">
        <v>15</v>
      </c>
      <c r="BK6" s="29" t="s">
        <v>15</v>
      </c>
      <c r="BL6" s="29" t="s">
        <v>16</v>
      </c>
      <c r="BM6" s="29" t="s">
        <v>15</v>
      </c>
      <c r="BN6" s="51" t="s">
        <v>16</v>
      </c>
      <c r="BO6" s="51" t="s">
        <v>16</v>
      </c>
      <c r="BP6" s="52" t="s">
        <v>15</v>
      </c>
      <c r="BQ6" s="53"/>
      <c r="BR6" s="53"/>
      <c r="BS6" s="29" t="s">
        <v>16</v>
      </c>
      <c r="BT6" s="53"/>
      <c r="BU6" s="53"/>
      <c r="BV6" s="29" t="s">
        <v>16</v>
      </c>
      <c r="BW6" s="54" t="s">
        <v>15</v>
      </c>
      <c r="BX6" s="22">
        <f t="shared" si="4"/>
        <v>0.5294117647</v>
      </c>
    </row>
    <row r="7">
      <c r="A7" s="24">
        <v>3.0</v>
      </c>
      <c r="B7" s="57"/>
      <c r="C7" s="58"/>
      <c r="D7" s="27" t="s">
        <v>15</v>
      </c>
      <c r="E7" s="29" t="s">
        <v>15</v>
      </c>
      <c r="F7" s="27" t="s">
        <v>15</v>
      </c>
      <c r="G7" s="27" t="s">
        <v>15</v>
      </c>
      <c r="H7" s="27" t="s">
        <v>15</v>
      </c>
      <c r="I7" s="27" t="s">
        <v>15</v>
      </c>
      <c r="J7" s="27" t="s">
        <v>15</v>
      </c>
      <c r="K7" s="27" t="s">
        <v>15</v>
      </c>
      <c r="L7" s="29" t="s">
        <v>15</v>
      </c>
      <c r="M7" s="29" t="s">
        <v>15</v>
      </c>
      <c r="N7" s="29" t="s">
        <v>15</v>
      </c>
      <c r="O7" s="29" t="s">
        <v>15</v>
      </c>
      <c r="P7" s="29" t="s">
        <v>15</v>
      </c>
      <c r="Q7" s="29" t="s">
        <v>15</v>
      </c>
      <c r="R7" s="29" t="s">
        <v>15</v>
      </c>
      <c r="S7" s="29" t="s">
        <v>15</v>
      </c>
      <c r="T7" s="29" t="s">
        <v>15</v>
      </c>
      <c r="U7" s="29" t="s">
        <v>15</v>
      </c>
      <c r="V7" s="29" t="s">
        <v>15</v>
      </c>
      <c r="W7" s="29" t="s">
        <v>15</v>
      </c>
      <c r="X7" s="34">
        <f t="shared" si="1"/>
        <v>1</v>
      </c>
      <c r="Y7" s="29" t="s">
        <v>15</v>
      </c>
      <c r="Z7" s="29" t="s">
        <v>16</v>
      </c>
      <c r="AA7" s="29" t="s">
        <v>15</v>
      </c>
      <c r="AB7" s="29" t="s">
        <v>15</v>
      </c>
      <c r="AC7" s="36" t="s">
        <v>15</v>
      </c>
      <c r="AD7" s="29" t="s">
        <v>15</v>
      </c>
      <c r="AE7" s="29" t="s">
        <v>15</v>
      </c>
      <c r="AF7" s="29" t="s">
        <v>15</v>
      </c>
      <c r="AG7" s="29" t="s">
        <v>15</v>
      </c>
      <c r="AH7" s="29" t="s">
        <v>15</v>
      </c>
      <c r="AI7" s="29" t="s">
        <v>15</v>
      </c>
      <c r="AJ7" s="29" t="s">
        <v>15</v>
      </c>
      <c r="AK7" s="29" t="s">
        <v>15</v>
      </c>
      <c r="AL7" s="29" t="s">
        <v>15</v>
      </c>
      <c r="AM7" s="39" t="s">
        <v>15</v>
      </c>
      <c r="AN7" s="29" t="s">
        <v>15</v>
      </c>
      <c r="AO7" s="39" t="s">
        <v>15</v>
      </c>
      <c r="AP7" s="29" t="s">
        <v>15</v>
      </c>
      <c r="AQ7" s="29" t="s">
        <v>15</v>
      </c>
      <c r="AR7" s="29" t="s">
        <v>15</v>
      </c>
      <c r="AS7" s="34">
        <f t="shared" si="2"/>
        <v>0.95</v>
      </c>
      <c r="AT7" s="29" t="s">
        <v>15</v>
      </c>
      <c r="AU7" s="29" t="s">
        <v>15</v>
      </c>
      <c r="AV7" s="29" t="s">
        <v>15</v>
      </c>
      <c r="AW7" s="29" t="s">
        <v>15</v>
      </c>
      <c r="AX7" s="29" t="s">
        <v>15</v>
      </c>
      <c r="AY7" s="29" t="s">
        <v>15</v>
      </c>
      <c r="AZ7" s="29" t="s">
        <v>15</v>
      </c>
      <c r="BA7" s="34">
        <f t="shared" si="3"/>
        <v>1</v>
      </c>
      <c r="BB7" s="29" t="s">
        <v>15</v>
      </c>
      <c r="BC7" s="29" t="s">
        <v>15</v>
      </c>
      <c r="BD7" s="29" t="s">
        <v>15</v>
      </c>
      <c r="BE7" s="29" t="s">
        <v>15</v>
      </c>
      <c r="BF7" s="29"/>
      <c r="BG7" s="29" t="s">
        <v>15</v>
      </c>
      <c r="BH7" s="29" t="s">
        <v>15</v>
      </c>
      <c r="BI7" s="29" t="s">
        <v>15</v>
      </c>
      <c r="BJ7" s="29" t="s">
        <v>15</v>
      </c>
      <c r="BK7" s="29" t="s">
        <v>15</v>
      </c>
      <c r="BL7" s="29" t="s">
        <v>15</v>
      </c>
      <c r="BM7" s="29" t="s">
        <v>15</v>
      </c>
      <c r="BN7" s="65" t="s">
        <v>15</v>
      </c>
      <c r="BO7" s="43" t="s">
        <v>15</v>
      </c>
      <c r="BP7" s="44" t="s">
        <v>15</v>
      </c>
      <c r="BQ7" s="53"/>
      <c r="BR7" s="53"/>
      <c r="BS7" s="29" t="s">
        <v>16</v>
      </c>
      <c r="BT7" s="53"/>
      <c r="BU7" s="53"/>
      <c r="BV7" s="29" t="s">
        <v>15</v>
      </c>
      <c r="BW7" s="67" t="s">
        <v>16</v>
      </c>
      <c r="BX7" s="22">
        <f t="shared" si="4"/>
        <v>0.8823529412</v>
      </c>
    </row>
    <row r="8">
      <c r="A8" s="24">
        <v>4.0</v>
      </c>
      <c r="B8" s="68"/>
      <c r="C8" s="69" t="s">
        <v>21</v>
      </c>
      <c r="D8" s="27" t="s">
        <v>15</v>
      </c>
      <c r="E8" s="28" t="s">
        <v>15</v>
      </c>
      <c r="F8" s="47" t="s">
        <v>16</v>
      </c>
      <c r="G8" s="47" t="s">
        <v>16</v>
      </c>
      <c r="H8" s="27" t="s">
        <v>15</v>
      </c>
      <c r="I8" s="27" t="s">
        <v>15</v>
      </c>
      <c r="J8" s="27" t="s">
        <v>15</v>
      </c>
      <c r="K8" s="27" t="s">
        <v>15</v>
      </c>
      <c r="L8" s="29" t="s">
        <v>16</v>
      </c>
      <c r="M8" s="29" t="s">
        <v>16</v>
      </c>
      <c r="N8" s="29" t="s">
        <v>15</v>
      </c>
      <c r="O8" s="29" t="s">
        <v>16</v>
      </c>
      <c r="P8" s="29" t="s">
        <v>15</v>
      </c>
      <c r="Q8" s="29" t="s">
        <v>15</v>
      </c>
      <c r="R8" s="29" t="s">
        <v>15</v>
      </c>
      <c r="S8" s="29" t="s">
        <v>16</v>
      </c>
      <c r="T8" s="38" t="s">
        <v>20</v>
      </c>
      <c r="U8" s="38" t="s">
        <v>20</v>
      </c>
      <c r="V8" s="38" t="s">
        <v>20</v>
      </c>
      <c r="W8" s="38" t="s">
        <v>20</v>
      </c>
      <c r="X8" s="34">
        <f t="shared" si="1"/>
        <v>0.625</v>
      </c>
      <c r="Y8" s="38" t="s">
        <v>20</v>
      </c>
      <c r="Z8" s="38" t="s">
        <v>20</v>
      </c>
      <c r="AA8" s="38" t="s">
        <v>20</v>
      </c>
      <c r="AB8" s="38" t="s">
        <v>20</v>
      </c>
      <c r="AC8" s="42" t="s">
        <v>18</v>
      </c>
      <c r="AD8" s="38" t="s">
        <v>20</v>
      </c>
      <c r="AE8" s="38" t="s">
        <v>20</v>
      </c>
      <c r="AF8" s="38" t="s">
        <v>20</v>
      </c>
      <c r="AG8" s="38" t="s">
        <v>20</v>
      </c>
      <c r="AH8" s="38" t="s">
        <v>20</v>
      </c>
      <c r="AI8" s="38" t="s">
        <v>20</v>
      </c>
      <c r="AJ8" s="38" t="s">
        <v>20</v>
      </c>
      <c r="AK8" s="38" t="s">
        <v>20</v>
      </c>
      <c r="AL8" s="38" t="s">
        <v>20</v>
      </c>
      <c r="AM8" s="38" t="s">
        <v>20</v>
      </c>
      <c r="AN8" s="38"/>
      <c r="AO8" s="38" t="s">
        <v>20</v>
      </c>
      <c r="AP8" s="38"/>
      <c r="AQ8" s="38"/>
      <c r="AR8" s="38" t="s">
        <v>20</v>
      </c>
      <c r="AS8" s="34" t="str">
        <f t="shared" si="2"/>
        <v>0,00%</v>
      </c>
      <c r="AT8" s="38" t="s">
        <v>20</v>
      </c>
      <c r="AU8" s="38" t="s">
        <v>20</v>
      </c>
      <c r="AV8" s="38" t="s">
        <v>20</v>
      </c>
      <c r="AW8" s="38" t="s">
        <v>20</v>
      </c>
      <c r="AX8" s="38" t="s">
        <v>20</v>
      </c>
      <c r="AY8" s="38" t="s">
        <v>20</v>
      </c>
      <c r="AZ8" s="38" t="s">
        <v>20</v>
      </c>
      <c r="BA8" s="34" t="str">
        <f t="shared" si="3"/>
        <v>0,00%</v>
      </c>
      <c r="BB8" s="38" t="s">
        <v>20</v>
      </c>
      <c r="BC8" s="38" t="s">
        <v>20</v>
      </c>
      <c r="BD8" s="38" t="s">
        <v>20</v>
      </c>
      <c r="BE8" s="38" t="s">
        <v>20</v>
      </c>
      <c r="BF8" s="38" t="s">
        <v>20</v>
      </c>
      <c r="BG8" s="38" t="s">
        <v>20</v>
      </c>
      <c r="BH8" s="38" t="s">
        <v>20</v>
      </c>
      <c r="BI8" s="38"/>
      <c r="BJ8" s="38" t="s">
        <v>20</v>
      </c>
      <c r="BK8" s="38" t="s">
        <v>20</v>
      </c>
      <c r="BL8" s="38" t="s">
        <v>20</v>
      </c>
      <c r="BM8" s="38" t="s">
        <v>20</v>
      </c>
      <c r="BN8" s="74" t="s">
        <v>18</v>
      </c>
      <c r="BO8" s="38" t="s">
        <v>20</v>
      </c>
      <c r="BP8" s="49" t="s">
        <v>18</v>
      </c>
      <c r="BQ8" s="38" t="s">
        <v>20</v>
      </c>
      <c r="BR8" s="38" t="s">
        <v>20</v>
      </c>
      <c r="BS8" s="38" t="s">
        <v>20</v>
      </c>
      <c r="BT8" s="38" t="s">
        <v>20</v>
      </c>
      <c r="BU8" s="38" t="s">
        <v>20</v>
      </c>
      <c r="BV8" s="38" t="s">
        <v>20</v>
      </c>
      <c r="BW8" s="76" t="s">
        <v>18</v>
      </c>
      <c r="BX8" s="22" t="str">
        <f t="shared" si="4"/>
        <v>0,00%</v>
      </c>
    </row>
    <row r="9">
      <c r="A9" s="24">
        <v>5.0</v>
      </c>
      <c r="B9" s="57"/>
      <c r="C9" s="58"/>
      <c r="D9" s="27" t="s">
        <v>15</v>
      </c>
      <c r="E9" s="29" t="s">
        <v>15</v>
      </c>
      <c r="F9" s="47" t="s">
        <v>16</v>
      </c>
      <c r="G9" s="27" t="s">
        <v>15</v>
      </c>
      <c r="H9" s="27" t="s">
        <v>15</v>
      </c>
      <c r="I9" s="78" t="s">
        <v>16</v>
      </c>
      <c r="J9" s="27" t="s">
        <v>15</v>
      </c>
      <c r="K9" s="27" t="s">
        <v>15</v>
      </c>
      <c r="L9" s="29" t="s">
        <v>15</v>
      </c>
      <c r="M9" s="29" t="s">
        <v>15</v>
      </c>
      <c r="N9" s="29" t="s">
        <v>15</v>
      </c>
      <c r="O9" s="29" t="s">
        <v>15</v>
      </c>
      <c r="P9" s="29" t="s">
        <v>15</v>
      </c>
      <c r="Q9" s="29" t="s">
        <v>16</v>
      </c>
      <c r="R9" s="29" t="s">
        <v>15</v>
      </c>
      <c r="S9" s="29" t="s">
        <v>15</v>
      </c>
      <c r="T9" s="29" t="s">
        <v>15</v>
      </c>
      <c r="U9" s="29" t="s">
        <v>15</v>
      </c>
      <c r="V9" s="29" t="s">
        <v>15</v>
      </c>
      <c r="W9" s="29" t="s">
        <v>16</v>
      </c>
      <c r="X9" s="34">
        <f t="shared" si="1"/>
        <v>0.8</v>
      </c>
      <c r="Y9" s="29" t="s">
        <v>15</v>
      </c>
      <c r="Z9" s="29" t="s">
        <v>15</v>
      </c>
      <c r="AA9" s="29" t="s">
        <v>15</v>
      </c>
      <c r="AB9" s="29" t="s">
        <v>15</v>
      </c>
      <c r="AC9" s="36" t="s">
        <v>15</v>
      </c>
      <c r="AD9" s="29" t="s">
        <v>15</v>
      </c>
      <c r="AE9" s="29" t="s">
        <v>16</v>
      </c>
      <c r="AF9" s="29" t="s">
        <v>15</v>
      </c>
      <c r="AG9" s="29" t="s">
        <v>15</v>
      </c>
      <c r="AH9" s="29" t="s">
        <v>16</v>
      </c>
      <c r="AI9" s="29" t="s">
        <v>15</v>
      </c>
      <c r="AJ9" s="29" t="s">
        <v>15</v>
      </c>
      <c r="AK9" s="29" t="s">
        <v>15</v>
      </c>
      <c r="AL9" s="29" t="s">
        <v>15</v>
      </c>
      <c r="AM9" s="39" t="s">
        <v>15</v>
      </c>
      <c r="AN9" s="29" t="s">
        <v>16</v>
      </c>
      <c r="AO9" s="39" t="s">
        <v>15</v>
      </c>
      <c r="AP9" s="29" t="s">
        <v>15</v>
      </c>
      <c r="AQ9" s="29" t="s">
        <v>15</v>
      </c>
      <c r="AR9" s="29" t="s">
        <v>15</v>
      </c>
      <c r="AS9" s="34">
        <f t="shared" si="2"/>
        <v>0.85</v>
      </c>
      <c r="AT9" s="29" t="s">
        <v>15</v>
      </c>
      <c r="AU9" s="29" t="s">
        <v>15</v>
      </c>
      <c r="AV9" s="29" t="s">
        <v>15</v>
      </c>
      <c r="AW9" s="29" t="s">
        <v>15</v>
      </c>
      <c r="AX9" s="29" t="s">
        <v>15</v>
      </c>
      <c r="AY9" s="29" t="s">
        <v>15</v>
      </c>
      <c r="AZ9" s="29" t="s">
        <v>15</v>
      </c>
      <c r="BA9" s="34">
        <f t="shared" si="3"/>
        <v>1</v>
      </c>
      <c r="BB9" s="29" t="s">
        <v>15</v>
      </c>
      <c r="BC9" s="29" t="s">
        <v>15</v>
      </c>
      <c r="BD9" s="29" t="s">
        <v>15</v>
      </c>
      <c r="BE9" s="29" t="s">
        <v>15</v>
      </c>
      <c r="BF9" s="29"/>
      <c r="BG9" s="29" t="s">
        <v>15</v>
      </c>
      <c r="BH9" s="29" t="s">
        <v>16</v>
      </c>
      <c r="BI9" s="29" t="s">
        <v>15</v>
      </c>
      <c r="BJ9" s="29" t="s">
        <v>15</v>
      </c>
      <c r="BK9" s="29" t="s">
        <v>15</v>
      </c>
      <c r="BL9" s="29" t="s">
        <v>15</v>
      </c>
      <c r="BM9" s="29" t="s">
        <v>15</v>
      </c>
      <c r="BN9" s="65" t="s">
        <v>15</v>
      </c>
      <c r="BO9" s="43" t="s">
        <v>15</v>
      </c>
      <c r="BP9" s="44" t="s">
        <v>15</v>
      </c>
      <c r="BQ9" s="53"/>
      <c r="BR9" s="53"/>
      <c r="BS9" s="29" t="s">
        <v>15</v>
      </c>
      <c r="BT9" s="53"/>
      <c r="BU9" s="53"/>
      <c r="BV9" s="29" t="s">
        <v>15</v>
      </c>
      <c r="BW9" s="54" t="s">
        <v>15</v>
      </c>
      <c r="BX9" s="22">
        <f t="shared" si="4"/>
        <v>0.9411764706</v>
      </c>
    </row>
    <row r="10">
      <c r="A10" s="24">
        <v>6.0</v>
      </c>
      <c r="B10" s="81"/>
      <c r="C10" s="58"/>
      <c r="D10" s="27" t="s">
        <v>15</v>
      </c>
      <c r="E10" s="28" t="s">
        <v>15</v>
      </c>
      <c r="F10" s="47" t="s">
        <v>16</v>
      </c>
      <c r="G10" s="27" t="s">
        <v>15</v>
      </c>
      <c r="H10" s="27" t="s">
        <v>15</v>
      </c>
      <c r="I10" s="27" t="s">
        <v>15</v>
      </c>
      <c r="J10" s="27" t="s">
        <v>15</v>
      </c>
      <c r="K10" s="78" t="s">
        <v>16</v>
      </c>
      <c r="L10" s="29" t="s">
        <v>15</v>
      </c>
      <c r="M10" s="29" t="s">
        <v>16</v>
      </c>
      <c r="N10" s="29" t="s">
        <v>15</v>
      </c>
      <c r="O10" s="29" t="s">
        <v>15</v>
      </c>
      <c r="P10" s="29" t="s">
        <v>15</v>
      </c>
      <c r="Q10" s="29" t="s">
        <v>15</v>
      </c>
      <c r="R10" s="29" t="s">
        <v>15</v>
      </c>
      <c r="S10" s="29" t="s">
        <v>16</v>
      </c>
      <c r="T10" s="29" t="s">
        <v>15</v>
      </c>
      <c r="U10" s="29" t="s">
        <v>15</v>
      </c>
      <c r="V10" s="29" t="s">
        <v>15</v>
      </c>
      <c r="W10" s="29" t="s">
        <v>16</v>
      </c>
      <c r="X10" s="34">
        <f t="shared" si="1"/>
        <v>0.75</v>
      </c>
      <c r="Y10" s="29" t="s">
        <v>15</v>
      </c>
      <c r="Z10" s="29" t="s">
        <v>15</v>
      </c>
      <c r="AA10" s="29" t="s">
        <v>15</v>
      </c>
      <c r="AB10" s="29" t="s">
        <v>15</v>
      </c>
      <c r="AC10" s="36" t="s">
        <v>15</v>
      </c>
      <c r="AD10" s="29" t="s">
        <v>15</v>
      </c>
      <c r="AE10" s="29" t="s">
        <v>16</v>
      </c>
      <c r="AF10" s="29" t="s">
        <v>15</v>
      </c>
      <c r="AG10" s="29" t="s">
        <v>15</v>
      </c>
      <c r="AH10" s="29" t="s">
        <v>16</v>
      </c>
      <c r="AI10" s="29" t="s">
        <v>15</v>
      </c>
      <c r="AJ10" s="29" t="s">
        <v>15</v>
      </c>
      <c r="AK10" s="29" t="s">
        <v>15</v>
      </c>
      <c r="AL10" s="29" t="s">
        <v>15</v>
      </c>
      <c r="AM10" s="39" t="s">
        <v>15</v>
      </c>
      <c r="AN10" s="29" t="s">
        <v>16</v>
      </c>
      <c r="AO10" s="39" t="s">
        <v>15</v>
      </c>
      <c r="AP10" s="29" t="s">
        <v>15</v>
      </c>
      <c r="AQ10" s="29" t="s">
        <v>16</v>
      </c>
      <c r="AR10" s="29" t="s">
        <v>15</v>
      </c>
      <c r="AS10" s="34">
        <f t="shared" si="2"/>
        <v>0.8</v>
      </c>
      <c r="AT10" s="29" t="s">
        <v>15</v>
      </c>
      <c r="AU10" s="29" t="s">
        <v>15</v>
      </c>
      <c r="AV10" s="29" t="s">
        <v>15</v>
      </c>
      <c r="AW10" s="29" t="s">
        <v>15</v>
      </c>
      <c r="AX10" s="29" t="s">
        <v>16</v>
      </c>
      <c r="AY10" s="29" t="s">
        <v>15</v>
      </c>
      <c r="AZ10" s="29" t="s">
        <v>16</v>
      </c>
      <c r="BA10" s="34">
        <f t="shared" si="3"/>
        <v>0.7142857143</v>
      </c>
      <c r="BB10" s="29" t="s">
        <v>15</v>
      </c>
      <c r="BC10" s="29" t="s">
        <v>15</v>
      </c>
      <c r="BD10" s="29" t="s">
        <v>15</v>
      </c>
      <c r="BE10" s="29" t="s">
        <v>15</v>
      </c>
      <c r="BF10" s="29"/>
      <c r="BG10" s="29" t="s">
        <v>15</v>
      </c>
      <c r="BH10" s="29" t="s">
        <v>15</v>
      </c>
      <c r="BI10" s="29" t="s">
        <v>16</v>
      </c>
      <c r="BJ10" s="29" t="s">
        <v>15</v>
      </c>
      <c r="BK10" s="29" t="s">
        <v>16</v>
      </c>
      <c r="BL10" s="29" t="s">
        <v>15</v>
      </c>
      <c r="BM10" s="29" t="s">
        <v>15</v>
      </c>
      <c r="BN10" s="65" t="s">
        <v>15</v>
      </c>
      <c r="BO10" s="43" t="s">
        <v>15</v>
      </c>
      <c r="BP10" s="52" t="s">
        <v>16</v>
      </c>
      <c r="BQ10" s="53"/>
      <c r="BR10" s="53"/>
      <c r="BS10" s="29" t="s">
        <v>15</v>
      </c>
      <c r="BT10" s="53"/>
      <c r="BU10" s="53"/>
      <c r="BV10" s="29" t="s">
        <v>15</v>
      </c>
      <c r="BW10" s="67" t="s">
        <v>16</v>
      </c>
      <c r="BX10" s="22">
        <f t="shared" si="4"/>
        <v>0.7647058824</v>
      </c>
    </row>
    <row r="11">
      <c r="A11" s="24">
        <v>7.0</v>
      </c>
      <c r="B11" s="46"/>
      <c r="C11" s="58"/>
      <c r="D11" s="27" t="s">
        <v>15</v>
      </c>
      <c r="E11" s="29" t="s">
        <v>16</v>
      </c>
      <c r="F11" s="47" t="s">
        <v>16</v>
      </c>
      <c r="G11" s="27" t="s">
        <v>15</v>
      </c>
      <c r="H11" s="27" t="s">
        <v>15</v>
      </c>
      <c r="I11" s="27" t="s">
        <v>15</v>
      </c>
      <c r="J11" s="27" t="s">
        <v>15</v>
      </c>
      <c r="K11" s="27" t="s">
        <v>15</v>
      </c>
      <c r="L11" s="29" t="s">
        <v>15</v>
      </c>
      <c r="M11" s="29" t="s">
        <v>15</v>
      </c>
      <c r="N11" s="29" t="s">
        <v>15</v>
      </c>
      <c r="O11" s="29" t="s">
        <v>15</v>
      </c>
      <c r="P11" s="29" t="s">
        <v>15</v>
      </c>
      <c r="Q11" s="29" t="s">
        <v>15</v>
      </c>
      <c r="R11" s="29" t="s">
        <v>15</v>
      </c>
      <c r="S11" s="29" t="s">
        <v>15</v>
      </c>
      <c r="T11" s="29" t="s">
        <v>15</v>
      </c>
      <c r="U11" s="29" t="s">
        <v>15</v>
      </c>
      <c r="V11" s="29" t="s">
        <v>15</v>
      </c>
      <c r="W11" s="29" t="s">
        <v>15</v>
      </c>
      <c r="X11" s="34">
        <f t="shared" si="1"/>
        <v>0.9</v>
      </c>
      <c r="Y11" s="29" t="s">
        <v>15</v>
      </c>
      <c r="Z11" s="29" t="s">
        <v>15</v>
      </c>
      <c r="AA11" s="29" t="s">
        <v>15</v>
      </c>
      <c r="AB11" s="29" t="s">
        <v>15</v>
      </c>
      <c r="AC11" s="36" t="s">
        <v>15</v>
      </c>
      <c r="AD11" s="29" t="s">
        <v>15</v>
      </c>
      <c r="AE11" s="29" t="s">
        <v>15</v>
      </c>
      <c r="AF11" s="29" t="s">
        <v>15</v>
      </c>
      <c r="AG11" s="29" t="s">
        <v>15</v>
      </c>
      <c r="AH11" s="29" t="s">
        <v>15</v>
      </c>
      <c r="AI11" s="29" t="s">
        <v>15</v>
      </c>
      <c r="AJ11" s="29" t="s">
        <v>15</v>
      </c>
      <c r="AK11" s="29" t="s">
        <v>15</v>
      </c>
      <c r="AL11" s="29" t="s">
        <v>15</v>
      </c>
      <c r="AM11" s="39" t="s">
        <v>15</v>
      </c>
      <c r="AN11" s="29" t="s">
        <v>15</v>
      </c>
      <c r="AO11" s="39" t="s">
        <v>15</v>
      </c>
      <c r="AP11" s="29" t="s">
        <v>15</v>
      </c>
      <c r="AQ11" s="29" t="s">
        <v>15</v>
      </c>
      <c r="AR11" s="29" t="s">
        <v>15</v>
      </c>
      <c r="AS11" s="34">
        <f t="shared" si="2"/>
        <v>1</v>
      </c>
      <c r="AT11" s="29" t="s">
        <v>16</v>
      </c>
      <c r="AU11" s="29" t="s">
        <v>15</v>
      </c>
      <c r="AV11" s="29" t="s">
        <v>15</v>
      </c>
      <c r="AW11" s="29" t="s">
        <v>15</v>
      </c>
      <c r="AX11" s="29" t="s">
        <v>15</v>
      </c>
      <c r="AY11" s="29" t="s">
        <v>15</v>
      </c>
      <c r="AZ11" s="29" t="s">
        <v>15</v>
      </c>
      <c r="BA11" s="34">
        <f t="shared" si="3"/>
        <v>0.8571428571</v>
      </c>
      <c r="BB11" s="29" t="s">
        <v>15</v>
      </c>
      <c r="BC11" s="29" t="s">
        <v>15</v>
      </c>
      <c r="BD11" s="29" t="s">
        <v>15</v>
      </c>
      <c r="BE11" s="29" t="s">
        <v>15</v>
      </c>
      <c r="BF11" s="29"/>
      <c r="BG11" s="29" t="s">
        <v>15</v>
      </c>
      <c r="BH11" s="29" t="s">
        <v>15</v>
      </c>
      <c r="BI11" s="29" t="s">
        <v>15</v>
      </c>
      <c r="BJ11" s="29" t="s">
        <v>15</v>
      </c>
      <c r="BK11" s="29" t="s">
        <v>15</v>
      </c>
      <c r="BL11" s="29" t="s">
        <v>15</v>
      </c>
      <c r="BM11" s="29" t="s">
        <v>15</v>
      </c>
      <c r="BN11" s="71" t="s">
        <v>15</v>
      </c>
      <c r="BO11" s="43" t="s">
        <v>15</v>
      </c>
      <c r="BP11" s="44" t="s">
        <v>15</v>
      </c>
      <c r="BQ11" s="29"/>
      <c r="BR11" s="29"/>
      <c r="BS11" s="29" t="s">
        <v>16</v>
      </c>
      <c r="BT11" s="29"/>
      <c r="BU11" s="29"/>
      <c r="BV11" s="29" t="s">
        <v>15</v>
      </c>
      <c r="BW11" s="83" t="s">
        <v>15</v>
      </c>
      <c r="BX11" s="22">
        <f t="shared" si="4"/>
        <v>0.9411764706</v>
      </c>
    </row>
    <row r="12">
      <c r="A12" s="24">
        <v>8.0</v>
      </c>
      <c r="B12" s="57"/>
      <c r="C12" s="58"/>
      <c r="D12" s="27" t="s">
        <v>15</v>
      </c>
      <c r="E12" s="29" t="s">
        <v>15</v>
      </c>
      <c r="F12" s="47" t="s">
        <v>16</v>
      </c>
      <c r="G12" s="47" t="s">
        <v>16</v>
      </c>
      <c r="H12" s="78" t="s">
        <v>16</v>
      </c>
      <c r="I12" s="27" t="s">
        <v>15</v>
      </c>
      <c r="J12" s="27" t="s">
        <v>15</v>
      </c>
      <c r="K12" s="27" t="s">
        <v>15</v>
      </c>
      <c r="L12" s="29" t="s">
        <v>15</v>
      </c>
      <c r="M12" s="29" t="s">
        <v>15</v>
      </c>
      <c r="N12" s="29" t="s">
        <v>15</v>
      </c>
      <c r="O12" s="29" t="s">
        <v>15</v>
      </c>
      <c r="P12" s="29" t="s">
        <v>15</v>
      </c>
      <c r="Q12" s="29" t="s">
        <v>15</v>
      </c>
      <c r="R12" s="29" t="s">
        <v>16</v>
      </c>
      <c r="S12" s="29" t="s">
        <v>16</v>
      </c>
      <c r="T12" s="29" t="s">
        <v>16</v>
      </c>
      <c r="U12" s="29" t="s">
        <v>16</v>
      </c>
      <c r="V12" s="29" t="s">
        <v>15</v>
      </c>
      <c r="W12" s="29" t="s">
        <v>15</v>
      </c>
      <c r="X12" s="34">
        <f t="shared" si="1"/>
        <v>0.65</v>
      </c>
      <c r="Y12" s="29" t="s">
        <v>15</v>
      </c>
      <c r="Z12" s="29" t="s">
        <v>15</v>
      </c>
      <c r="AA12" s="29" t="s">
        <v>15</v>
      </c>
      <c r="AB12" s="29" t="s">
        <v>15</v>
      </c>
      <c r="AC12" s="84" t="s">
        <v>16</v>
      </c>
      <c r="AD12" s="29" t="s">
        <v>15</v>
      </c>
      <c r="AE12" s="29" t="s">
        <v>15</v>
      </c>
      <c r="AF12" s="29" t="s">
        <v>15</v>
      </c>
      <c r="AG12" s="29" t="s">
        <v>16</v>
      </c>
      <c r="AH12" s="29" t="s">
        <v>15</v>
      </c>
      <c r="AI12" s="29" t="s">
        <v>15</v>
      </c>
      <c r="AJ12" s="29" t="s">
        <v>16</v>
      </c>
      <c r="AK12" s="29" t="s">
        <v>15</v>
      </c>
      <c r="AL12" s="29" t="s">
        <v>15</v>
      </c>
      <c r="AM12" s="39" t="s">
        <v>15</v>
      </c>
      <c r="AN12" s="29" t="s">
        <v>16</v>
      </c>
      <c r="AO12" s="39" t="s">
        <v>15</v>
      </c>
      <c r="AP12" s="29" t="s">
        <v>16</v>
      </c>
      <c r="AQ12" s="29" t="s">
        <v>15</v>
      </c>
      <c r="AR12" s="29" t="s">
        <v>15</v>
      </c>
      <c r="AS12" s="34">
        <f t="shared" si="2"/>
        <v>0.75</v>
      </c>
      <c r="AT12" s="29" t="s">
        <v>15</v>
      </c>
      <c r="AU12" s="29" t="s">
        <v>15</v>
      </c>
      <c r="AV12" s="29" t="s">
        <v>15</v>
      </c>
      <c r="AW12" s="29" t="s">
        <v>16</v>
      </c>
      <c r="AX12" s="29" t="s">
        <v>16</v>
      </c>
      <c r="AY12" s="29" t="s">
        <v>16</v>
      </c>
      <c r="AZ12" s="29" t="s">
        <v>16</v>
      </c>
      <c r="BA12" s="34">
        <f t="shared" si="3"/>
        <v>0.4285714286</v>
      </c>
      <c r="BB12" s="29" t="s">
        <v>15</v>
      </c>
      <c r="BC12" s="29" t="s">
        <v>15</v>
      </c>
      <c r="BD12" s="29" t="s">
        <v>15</v>
      </c>
      <c r="BE12" s="29" t="s">
        <v>15</v>
      </c>
      <c r="BF12" s="29"/>
      <c r="BG12" s="29" t="s">
        <v>16</v>
      </c>
      <c r="BH12" s="29" t="s">
        <v>16</v>
      </c>
      <c r="BI12" s="29" t="s">
        <v>16</v>
      </c>
      <c r="BJ12" s="29" t="s">
        <v>15</v>
      </c>
      <c r="BK12" s="29" t="s">
        <v>15</v>
      </c>
      <c r="BL12" s="29" t="s">
        <v>15</v>
      </c>
      <c r="BM12" s="29" t="s">
        <v>16</v>
      </c>
      <c r="BN12" s="65" t="s">
        <v>15</v>
      </c>
      <c r="BO12" s="43" t="s">
        <v>15</v>
      </c>
      <c r="BP12" s="44" t="s">
        <v>15</v>
      </c>
      <c r="BQ12" s="53"/>
      <c r="BR12" s="53"/>
      <c r="BS12" s="29" t="s">
        <v>15</v>
      </c>
      <c r="BT12" s="53"/>
      <c r="BU12" s="53"/>
      <c r="BV12" s="29" t="s">
        <v>15</v>
      </c>
      <c r="BW12" s="54" t="s">
        <v>15</v>
      </c>
      <c r="BX12" s="22">
        <f t="shared" si="4"/>
        <v>0.7647058824</v>
      </c>
    </row>
    <row r="13">
      <c r="A13" s="24">
        <v>9.0</v>
      </c>
      <c r="B13" s="35"/>
      <c r="C13" s="88" t="s">
        <v>24</v>
      </c>
      <c r="D13" s="38" t="s">
        <v>20</v>
      </c>
      <c r="E13" s="41" t="s">
        <v>20</v>
      </c>
      <c r="F13" s="89" t="s">
        <v>18</v>
      </c>
      <c r="G13" s="38" t="s">
        <v>20</v>
      </c>
      <c r="H13" s="38" t="s">
        <v>20</v>
      </c>
      <c r="I13" s="38" t="s">
        <v>20</v>
      </c>
      <c r="J13" s="38" t="s">
        <v>20</v>
      </c>
      <c r="K13" s="38" t="s">
        <v>20</v>
      </c>
      <c r="L13" s="38"/>
      <c r="M13" s="38"/>
      <c r="N13" s="38" t="s">
        <v>20</v>
      </c>
      <c r="O13" s="38" t="s">
        <v>20</v>
      </c>
      <c r="P13" s="38" t="s">
        <v>20</v>
      </c>
      <c r="Q13" s="38"/>
      <c r="R13" s="38"/>
      <c r="S13" s="38"/>
      <c r="T13" s="38" t="s">
        <v>20</v>
      </c>
      <c r="U13" s="38"/>
      <c r="V13" s="38"/>
      <c r="W13" s="38"/>
      <c r="X13" s="40" t="str">
        <f t="shared" si="1"/>
        <v>0,00%</v>
      </c>
      <c r="Y13" s="38"/>
      <c r="Z13" s="38"/>
      <c r="AA13" s="38"/>
      <c r="AB13" s="38"/>
      <c r="AC13" s="42" t="s">
        <v>18</v>
      </c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40" t="str">
        <f t="shared" si="2"/>
        <v>0,00%</v>
      </c>
      <c r="AT13" s="38"/>
      <c r="AU13" s="38"/>
      <c r="AV13" s="38"/>
      <c r="AW13" s="38"/>
      <c r="AX13" s="38"/>
      <c r="AY13" s="38"/>
      <c r="AZ13" s="38"/>
      <c r="BA13" s="40" t="str">
        <f t="shared" si="3"/>
        <v>0,00%</v>
      </c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41" t="s">
        <v>20</v>
      </c>
      <c r="BN13" s="74" t="s">
        <v>18</v>
      </c>
      <c r="BO13" s="38"/>
      <c r="BP13" s="49" t="s">
        <v>18</v>
      </c>
      <c r="BQ13" s="38"/>
      <c r="BR13" s="38"/>
      <c r="BS13" s="38"/>
      <c r="BT13" s="38"/>
      <c r="BU13" s="38"/>
      <c r="BV13" s="38"/>
      <c r="BW13" s="76" t="s">
        <v>18</v>
      </c>
      <c r="BX13" s="48" t="str">
        <f t="shared" si="4"/>
        <v>0,00%</v>
      </c>
    </row>
    <row r="14">
      <c r="A14" s="24">
        <v>10.0</v>
      </c>
      <c r="B14" s="62"/>
      <c r="C14" s="58"/>
      <c r="D14" s="27" t="s">
        <v>15</v>
      </c>
      <c r="E14" s="28" t="s">
        <v>15</v>
      </c>
      <c r="F14" s="27" t="s">
        <v>15</v>
      </c>
      <c r="G14" s="27" t="s">
        <v>15</v>
      </c>
      <c r="H14" s="27" t="s">
        <v>15</v>
      </c>
      <c r="I14" s="27" t="s">
        <v>15</v>
      </c>
      <c r="J14" s="27" t="s">
        <v>15</v>
      </c>
      <c r="K14" s="27" t="s">
        <v>15</v>
      </c>
      <c r="L14" s="29" t="s">
        <v>15</v>
      </c>
      <c r="M14" s="29" t="s">
        <v>15</v>
      </c>
      <c r="N14" s="29" t="s">
        <v>15</v>
      </c>
      <c r="O14" s="29" t="s">
        <v>15</v>
      </c>
      <c r="P14" s="29" t="s">
        <v>15</v>
      </c>
      <c r="Q14" s="29" t="s">
        <v>15</v>
      </c>
      <c r="R14" s="29" t="s">
        <v>15</v>
      </c>
      <c r="S14" s="29" t="s">
        <v>15</v>
      </c>
      <c r="T14" s="29" t="s">
        <v>15</v>
      </c>
      <c r="U14" s="29" t="s">
        <v>15</v>
      </c>
      <c r="V14" s="29" t="s">
        <v>15</v>
      </c>
      <c r="W14" s="29" t="s">
        <v>15</v>
      </c>
      <c r="X14" s="34">
        <f t="shared" si="1"/>
        <v>1</v>
      </c>
      <c r="Y14" s="29" t="s">
        <v>15</v>
      </c>
      <c r="Z14" s="29" t="s">
        <v>15</v>
      </c>
      <c r="AA14" s="29" t="s">
        <v>15</v>
      </c>
      <c r="AB14" s="29" t="s">
        <v>15</v>
      </c>
      <c r="AC14" s="36" t="s">
        <v>15</v>
      </c>
      <c r="AD14" s="29" t="s">
        <v>15</v>
      </c>
      <c r="AE14" s="29" t="s">
        <v>15</v>
      </c>
      <c r="AF14" s="29" t="s">
        <v>15</v>
      </c>
      <c r="AG14" s="29" t="s">
        <v>15</v>
      </c>
      <c r="AH14" s="29" t="s">
        <v>16</v>
      </c>
      <c r="AI14" s="29" t="s">
        <v>15</v>
      </c>
      <c r="AJ14" s="29" t="s">
        <v>16</v>
      </c>
      <c r="AK14" s="29" t="s">
        <v>15</v>
      </c>
      <c r="AL14" s="29" t="s">
        <v>15</v>
      </c>
      <c r="AM14" s="29" t="s">
        <v>16</v>
      </c>
      <c r="AN14" s="29" t="s">
        <v>16</v>
      </c>
      <c r="AO14" s="39" t="s">
        <v>15</v>
      </c>
      <c r="AP14" s="29" t="s">
        <v>15</v>
      </c>
      <c r="AQ14" s="29" t="s">
        <v>15</v>
      </c>
      <c r="AR14" s="29" t="s">
        <v>15</v>
      </c>
      <c r="AS14" s="34">
        <f t="shared" si="2"/>
        <v>0.8</v>
      </c>
      <c r="AT14" s="29" t="s">
        <v>15</v>
      </c>
      <c r="AU14" s="29" t="s">
        <v>15</v>
      </c>
      <c r="AV14" s="29" t="s">
        <v>15</v>
      </c>
      <c r="AW14" s="29" t="s">
        <v>16</v>
      </c>
      <c r="AX14" s="29" t="s">
        <v>15</v>
      </c>
      <c r="AY14" s="29" t="s">
        <v>15</v>
      </c>
      <c r="AZ14" s="29" t="s">
        <v>15</v>
      </c>
      <c r="BA14" s="34">
        <f t="shared" si="3"/>
        <v>0.8571428571</v>
      </c>
      <c r="BB14" s="29" t="s">
        <v>15</v>
      </c>
      <c r="BC14" s="29" t="s">
        <v>15</v>
      </c>
      <c r="BD14" s="29" t="s">
        <v>15</v>
      </c>
      <c r="BE14" s="29" t="s">
        <v>15</v>
      </c>
      <c r="BF14" s="29"/>
      <c r="BG14" s="50" t="s">
        <v>16</v>
      </c>
      <c r="BH14" s="50" t="s">
        <v>16</v>
      </c>
      <c r="BI14" s="50" t="s">
        <v>15</v>
      </c>
      <c r="BJ14" s="50" t="s">
        <v>15</v>
      </c>
      <c r="BK14" s="50" t="s">
        <v>15</v>
      </c>
      <c r="BL14" s="50" t="s">
        <v>15</v>
      </c>
      <c r="BM14" s="29" t="s">
        <v>15</v>
      </c>
      <c r="BN14" s="65" t="s">
        <v>15</v>
      </c>
      <c r="BO14" s="43" t="s">
        <v>15</v>
      </c>
      <c r="BP14" s="52" t="s">
        <v>16</v>
      </c>
      <c r="BQ14" s="53"/>
      <c r="BR14" s="53"/>
      <c r="BS14" s="29" t="s">
        <v>15</v>
      </c>
      <c r="BT14" s="53"/>
      <c r="BU14" s="53"/>
      <c r="BV14" s="29" t="s">
        <v>16</v>
      </c>
      <c r="BW14" s="54" t="s">
        <v>15</v>
      </c>
      <c r="BX14" s="22">
        <f t="shared" si="4"/>
        <v>0.7647058824</v>
      </c>
    </row>
    <row r="15">
      <c r="A15" s="24">
        <v>11.0</v>
      </c>
      <c r="B15" s="92"/>
      <c r="C15" s="93" t="s">
        <v>26</v>
      </c>
      <c r="D15" s="38" t="s">
        <v>20</v>
      </c>
      <c r="E15" s="41" t="s">
        <v>20</v>
      </c>
      <c r="F15" s="89" t="s">
        <v>18</v>
      </c>
      <c r="G15" s="38" t="s">
        <v>20</v>
      </c>
      <c r="H15" s="38" t="s">
        <v>20</v>
      </c>
      <c r="I15" s="38" t="s">
        <v>20</v>
      </c>
      <c r="J15" s="38" t="s">
        <v>20</v>
      </c>
      <c r="K15" s="38" t="s">
        <v>20</v>
      </c>
      <c r="L15" s="38"/>
      <c r="M15" s="38"/>
      <c r="N15" s="38" t="s">
        <v>20</v>
      </c>
      <c r="O15" s="38" t="s">
        <v>20</v>
      </c>
      <c r="P15" s="38" t="s">
        <v>20</v>
      </c>
      <c r="Q15" s="38"/>
      <c r="R15" s="38"/>
      <c r="S15" s="38"/>
      <c r="T15" s="38" t="s">
        <v>20</v>
      </c>
      <c r="U15" s="38"/>
      <c r="V15" s="38"/>
      <c r="W15" s="38"/>
      <c r="X15" s="40" t="str">
        <f t="shared" si="1"/>
        <v>0,00%</v>
      </c>
      <c r="Y15" s="38"/>
      <c r="Z15" s="38"/>
      <c r="AA15" s="38"/>
      <c r="AB15" s="38"/>
      <c r="AC15" s="42" t="s">
        <v>18</v>
      </c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40" t="str">
        <f t="shared" si="2"/>
        <v>0,00%</v>
      </c>
      <c r="AT15" s="38"/>
      <c r="AU15" s="38"/>
      <c r="AV15" s="38"/>
      <c r="AW15" s="38"/>
      <c r="AX15" s="38"/>
      <c r="AY15" s="38"/>
      <c r="AZ15" s="38"/>
      <c r="BA15" s="40" t="str">
        <f t="shared" si="3"/>
        <v>0,00%</v>
      </c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41" t="s">
        <v>20</v>
      </c>
      <c r="BN15" s="74" t="s">
        <v>18</v>
      </c>
      <c r="BO15" s="38"/>
      <c r="BP15" s="49" t="s">
        <v>18</v>
      </c>
      <c r="BQ15" s="38"/>
      <c r="BR15" s="38"/>
      <c r="BS15" s="38"/>
      <c r="BT15" s="38"/>
      <c r="BU15" s="38"/>
      <c r="BV15" s="38"/>
      <c r="BW15" s="76" t="s">
        <v>18</v>
      </c>
      <c r="BX15" s="48" t="str">
        <f t="shared" si="4"/>
        <v>0,00%</v>
      </c>
    </row>
    <row r="16">
      <c r="A16" s="24">
        <v>12.0</v>
      </c>
      <c r="B16" s="55"/>
      <c r="C16" s="26"/>
      <c r="D16" s="27" t="s">
        <v>15</v>
      </c>
      <c r="E16" s="29" t="s">
        <v>16</v>
      </c>
      <c r="F16" s="47" t="s">
        <v>16</v>
      </c>
      <c r="G16" s="27" t="s">
        <v>15</v>
      </c>
      <c r="H16" s="27" t="s">
        <v>15</v>
      </c>
      <c r="I16" s="27" t="s">
        <v>15</v>
      </c>
      <c r="J16" s="27" t="s">
        <v>15</v>
      </c>
      <c r="K16" s="27" t="s">
        <v>15</v>
      </c>
      <c r="L16" s="29" t="s">
        <v>15</v>
      </c>
      <c r="M16" s="29" t="s">
        <v>15</v>
      </c>
      <c r="N16" s="29" t="s">
        <v>15</v>
      </c>
      <c r="O16" s="29" t="s">
        <v>15</v>
      </c>
      <c r="P16" s="29" t="s">
        <v>15</v>
      </c>
      <c r="Q16" s="29" t="s">
        <v>15</v>
      </c>
      <c r="R16" s="29" t="s">
        <v>15</v>
      </c>
      <c r="S16" s="29" t="s">
        <v>15</v>
      </c>
      <c r="T16" s="29" t="s">
        <v>15</v>
      </c>
      <c r="U16" s="29" t="s">
        <v>15</v>
      </c>
      <c r="V16" s="29" t="s">
        <v>15</v>
      </c>
      <c r="W16" s="29" t="s">
        <v>15</v>
      </c>
      <c r="X16" s="34">
        <f t="shared" si="1"/>
        <v>0.9</v>
      </c>
      <c r="Y16" s="29" t="s">
        <v>15</v>
      </c>
      <c r="Z16" s="29" t="s">
        <v>15</v>
      </c>
      <c r="AA16" s="29" t="s">
        <v>15</v>
      </c>
      <c r="AB16" s="29" t="s">
        <v>15</v>
      </c>
      <c r="AC16" s="36" t="s">
        <v>15</v>
      </c>
      <c r="AD16" s="29" t="s">
        <v>15</v>
      </c>
      <c r="AE16" s="29" t="s">
        <v>15</v>
      </c>
      <c r="AF16" s="29" t="s">
        <v>15</v>
      </c>
      <c r="AG16" s="29" t="s">
        <v>15</v>
      </c>
      <c r="AH16" s="29" t="s">
        <v>15</v>
      </c>
      <c r="AI16" s="29" t="s">
        <v>15</v>
      </c>
      <c r="AJ16" s="29" t="s">
        <v>15</v>
      </c>
      <c r="AK16" s="29" t="s">
        <v>16</v>
      </c>
      <c r="AL16" s="29" t="s">
        <v>15</v>
      </c>
      <c r="AM16" s="39" t="s">
        <v>15</v>
      </c>
      <c r="AN16" s="29" t="s">
        <v>15</v>
      </c>
      <c r="AO16" s="39" t="s">
        <v>15</v>
      </c>
      <c r="AP16" s="29" t="s">
        <v>15</v>
      </c>
      <c r="AQ16" s="29" t="s">
        <v>15</v>
      </c>
      <c r="AR16" s="29" t="s">
        <v>15</v>
      </c>
      <c r="AS16" s="34">
        <f t="shared" si="2"/>
        <v>0.95</v>
      </c>
      <c r="AT16" s="29" t="s">
        <v>15</v>
      </c>
      <c r="AU16" s="29" t="s">
        <v>15</v>
      </c>
      <c r="AV16" s="29" t="s">
        <v>15</v>
      </c>
      <c r="AW16" s="29" t="s">
        <v>16</v>
      </c>
      <c r="AX16" s="29" t="s">
        <v>15</v>
      </c>
      <c r="AY16" s="29" t="s">
        <v>15</v>
      </c>
      <c r="AZ16" s="29" t="s">
        <v>15</v>
      </c>
      <c r="BA16" s="34">
        <f t="shared" si="3"/>
        <v>0.8571428571</v>
      </c>
      <c r="BB16" s="29" t="s">
        <v>15</v>
      </c>
      <c r="BC16" s="29" t="s">
        <v>15</v>
      </c>
      <c r="BD16" s="29" t="s">
        <v>15</v>
      </c>
      <c r="BE16" s="29" t="s">
        <v>15</v>
      </c>
      <c r="BF16" s="29"/>
      <c r="BG16" s="50" t="s">
        <v>15</v>
      </c>
      <c r="BH16" s="50" t="s">
        <v>15</v>
      </c>
      <c r="BI16" s="50" t="s">
        <v>15</v>
      </c>
      <c r="BJ16" s="50" t="s">
        <v>15</v>
      </c>
      <c r="BK16" s="90" t="s">
        <v>15</v>
      </c>
      <c r="BL16" s="90" t="s">
        <v>15</v>
      </c>
      <c r="BM16" s="29" t="s">
        <v>15</v>
      </c>
      <c r="BN16" s="65" t="s">
        <v>15</v>
      </c>
      <c r="BO16" s="43" t="s">
        <v>15</v>
      </c>
      <c r="BP16" s="44" t="s">
        <v>15</v>
      </c>
      <c r="BQ16" s="53"/>
      <c r="BR16" s="53"/>
      <c r="BS16" s="29" t="s">
        <v>16</v>
      </c>
      <c r="BT16" s="53"/>
      <c r="BU16" s="53"/>
      <c r="BV16" s="29" t="s">
        <v>15</v>
      </c>
      <c r="BW16" s="54" t="s">
        <v>15</v>
      </c>
      <c r="BX16" s="22">
        <f t="shared" si="4"/>
        <v>0.9411764706</v>
      </c>
    </row>
    <row r="17">
      <c r="A17" s="24">
        <v>13.0</v>
      </c>
      <c r="B17" s="62"/>
      <c r="C17" s="58"/>
      <c r="D17" s="27" t="s">
        <v>15</v>
      </c>
      <c r="E17" s="28" t="s">
        <v>16</v>
      </c>
      <c r="F17" s="47" t="s">
        <v>16</v>
      </c>
      <c r="G17" s="27" t="s">
        <v>15</v>
      </c>
      <c r="H17" s="27" t="s">
        <v>15</v>
      </c>
      <c r="I17" s="78" t="s">
        <v>16</v>
      </c>
      <c r="J17" s="27" t="s">
        <v>15</v>
      </c>
      <c r="K17" s="27" t="s">
        <v>15</v>
      </c>
      <c r="L17" s="29" t="s">
        <v>15</v>
      </c>
      <c r="M17" s="29" t="s">
        <v>15</v>
      </c>
      <c r="N17" s="29" t="s">
        <v>15</v>
      </c>
      <c r="O17" s="29" t="s">
        <v>15</v>
      </c>
      <c r="P17" s="29" t="s">
        <v>15</v>
      </c>
      <c r="Q17" s="29" t="s">
        <v>15</v>
      </c>
      <c r="R17" s="29" t="s">
        <v>15</v>
      </c>
      <c r="S17" s="29" t="s">
        <v>15</v>
      </c>
      <c r="T17" s="29" t="s">
        <v>15</v>
      </c>
      <c r="U17" s="29" t="s">
        <v>15</v>
      </c>
      <c r="V17" s="29" t="s">
        <v>15</v>
      </c>
      <c r="W17" s="29" t="s">
        <v>15</v>
      </c>
      <c r="X17" s="34">
        <f t="shared" si="1"/>
        <v>0.85</v>
      </c>
      <c r="Y17" s="29" t="s">
        <v>15</v>
      </c>
      <c r="Z17" s="29" t="s">
        <v>15</v>
      </c>
      <c r="AA17" s="29" t="s">
        <v>15</v>
      </c>
      <c r="AB17" s="29" t="s">
        <v>15</v>
      </c>
      <c r="AC17" s="36" t="s">
        <v>15</v>
      </c>
      <c r="AD17" s="29" t="s">
        <v>15</v>
      </c>
      <c r="AE17" s="29" t="s">
        <v>16</v>
      </c>
      <c r="AF17" s="29" t="s">
        <v>15</v>
      </c>
      <c r="AG17" s="29" t="s">
        <v>15</v>
      </c>
      <c r="AH17" s="29" t="s">
        <v>15</v>
      </c>
      <c r="AI17" s="29" t="s">
        <v>15</v>
      </c>
      <c r="AJ17" s="29" t="s">
        <v>15</v>
      </c>
      <c r="AK17" s="29" t="s">
        <v>15</v>
      </c>
      <c r="AL17" s="29" t="s">
        <v>16</v>
      </c>
      <c r="AM17" s="39" t="s">
        <v>15</v>
      </c>
      <c r="AN17" s="29" t="s">
        <v>15</v>
      </c>
      <c r="AO17" s="39" t="s">
        <v>15</v>
      </c>
      <c r="AP17" s="29" t="s">
        <v>15</v>
      </c>
      <c r="AQ17" s="29" t="s">
        <v>15</v>
      </c>
      <c r="AR17" s="29" t="s">
        <v>15</v>
      </c>
      <c r="AS17" s="34">
        <f t="shared" si="2"/>
        <v>0.9</v>
      </c>
      <c r="AT17" s="29" t="s">
        <v>15</v>
      </c>
      <c r="AU17" s="29" t="s">
        <v>15</v>
      </c>
      <c r="AV17" s="29" t="s">
        <v>15</v>
      </c>
      <c r="AW17" s="29" t="s">
        <v>15</v>
      </c>
      <c r="AX17" s="29" t="s">
        <v>15</v>
      </c>
      <c r="AY17" s="29" t="s">
        <v>15</v>
      </c>
      <c r="AZ17" s="29" t="s">
        <v>16</v>
      </c>
      <c r="BA17" s="34">
        <f t="shared" si="3"/>
        <v>0.8571428571</v>
      </c>
      <c r="BB17" s="29" t="s">
        <v>16</v>
      </c>
      <c r="BC17" s="29" t="s">
        <v>15</v>
      </c>
      <c r="BD17" s="29" t="s">
        <v>15</v>
      </c>
      <c r="BE17" s="29" t="s">
        <v>15</v>
      </c>
      <c r="BF17" s="29"/>
      <c r="BG17" s="50" t="s">
        <v>15</v>
      </c>
      <c r="BH17" s="50" t="s">
        <v>15</v>
      </c>
      <c r="BI17" s="50" t="s">
        <v>15</v>
      </c>
      <c r="BJ17" s="50" t="s">
        <v>15</v>
      </c>
      <c r="BK17" s="90" t="s">
        <v>15</v>
      </c>
      <c r="BL17" s="90" t="s">
        <v>15</v>
      </c>
      <c r="BM17" s="29" t="s">
        <v>16</v>
      </c>
      <c r="BN17" s="65" t="s">
        <v>15</v>
      </c>
      <c r="BO17" s="43" t="s">
        <v>15</v>
      </c>
      <c r="BP17" s="44" t="s">
        <v>15</v>
      </c>
      <c r="BQ17" s="53"/>
      <c r="BR17" s="53"/>
      <c r="BS17" s="29" t="s">
        <v>16</v>
      </c>
      <c r="BT17" s="53"/>
      <c r="BU17" s="53"/>
      <c r="BV17" s="29" t="s">
        <v>16</v>
      </c>
      <c r="BW17" s="67" t="s">
        <v>16</v>
      </c>
      <c r="BX17" s="22">
        <f t="shared" si="4"/>
        <v>0.7058823529</v>
      </c>
    </row>
    <row r="18">
      <c r="A18" s="24">
        <v>14.0</v>
      </c>
      <c r="B18" s="103"/>
      <c r="C18" s="69" t="s">
        <v>30</v>
      </c>
      <c r="D18" s="27" t="s">
        <v>15</v>
      </c>
      <c r="E18" s="29" t="s">
        <v>16</v>
      </c>
      <c r="F18" s="27" t="s">
        <v>15</v>
      </c>
      <c r="G18" s="27" t="s">
        <v>15</v>
      </c>
      <c r="H18" s="78" t="s">
        <v>16</v>
      </c>
      <c r="I18" s="27" t="s">
        <v>15</v>
      </c>
      <c r="J18" s="27" t="s">
        <v>15</v>
      </c>
      <c r="K18" s="27" t="s">
        <v>15</v>
      </c>
      <c r="L18" s="29" t="s">
        <v>15</v>
      </c>
      <c r="M18" s="29" t="s">
        <v>15</v>
      </c>
      <c r="N18" s="29" t="s">
        <v>15</v>
      </c>
      <c r="O18" s="29" t="s">
        <v>15</v>
      </c>
      <c r="P18" s="29" t="s">
        <v>15</v>
      </c>
      <c r="Q18" s="29" t="s">
        <v>15</v>
      </c>
      <c r="R18" s="29" t="s">
        <v>16</v>
      </c>
      <c r="S18" s="29" t="s">
        <v>15</v>
      </c>
      <c r="T18" s="29" t="s">
        <v>15</v>
      </c>
      <c r="U18" s="29" t="s">
        <v>15</v>
      </c>
      <c r="V18" s="29" t="s">
        <v>15</v>
      </c>
      <c r="W18" s="29" t="s">
        <v>15</v>
      </c>
      <c r="X18" s="34">
        <f t="shared" si="1"/>
        <v>0.85</v>
      </c>
      <c r="Y18" s="29" t="s">
        <v>15</v>
      </c>
      <c r="Z18" s="29" t="s">
        <v>15</v>
      </c>
      <c r="AA18" s="29" t="s">
        <v>15</v>
      </c>
      <c r="AB18" s="29" t="s">
        <v>15</v>
      </c>
      <c r="AC18" s="36" t="s">
        <v>15</v>
      </c>
      <c r="AD18" s="29" t="s">
        <v>15</v>
      </c>
      <c r="AE18" s="29" t="s">
        <v>15</v>
      </c>
      <c r="AF18" s="29" t="s">
        <v>16</v>
      </c>
      <c r="AG18" s="29" t="s">
        <v>15</v>
      </c>
      <c r="AH18" s="29" t="s">
        <v>15</v>
      </c>
      <c r="AI18" s="29" t="s">
        <v>15</v>
      </c>
      <c r="AJ18" s="29" t="s">
        <v>15</v>
      </c>
      <c r="AK18" s="29" t="s">
        <v>15</v>
      </c>
      <c r="AL18" s="29" t="s">
        <v>15</v>
      </c>
      <c r="AM18" s="39" t="s">
        <v>15</v>
      </c>
      <c r="AN18" s="29" t="s">
        <v>16</v>
      </c>
      <c r="AO18" s="39" t="s">
        <v>15</v>
      </c>
      <c r="AP18" s="29" t="s">
        <v>15</v>
      </c>
      <c r="AQ18" s="29" t="s">
        <v>16</v>
      </c>
      <c r="AR18" s="29" t="s">
        <v>15</v>
      </c>
      <c r="AS18" s="34">
        <f t="shared" si="2"/>
        <v>0.85</v>
      </c>
      <c r="AT18" s="29" t="s">
        <v>15</v>
      </c>
      <c r="AU18" s="29" t="s">
        <v>15</v>
      </c>
      <c r="AV18" s="29" t="s">
        <v>15</v>
      </c>
      <c r="AW18" s="29" t="s">
        <v>15</v>
      </c>
      <c r="AX18" s="29" t="s">
        <v>15</v>
      </c>
      <c r="AY18" s="29" t="s">
        <v>15</v>
      </c>
      <c r="AZ18" s="29" t="s">
        <v>16</v>
      </c>
      <c r="BA18" s="34">
        <f t="shared" si="3"/>
        <v>0.8571428571</v>
      </c>
      <c r="BB18" s="29" t="s">
        <v>15</v>
      </c>
      <c r="BC18" s="38" t="s">
        <v>20</v>
      </c>
      <c r="BD18" s="38" t="s">
        <v>20</v>
      </c>
      <c r="BE18" s="38" t="s">
        <v>20</v>
      </c>
      <c r="BF18" s="38" t="s">
        <v>20</v>
      </c>
      <c r="BG18" s="38" t="s">
        <v>20</v>
      </c>
      <c r="BH18" s="38" t="s">
        <v>20</v>
      </c>
      <c r="BI18" s="38" t="s">
        <v>20</v>
      </c>
      <c r="BJ18" s="38" t="s">
        <v>20</v>
      </c>
      <c r="BK18" s="38" t="s">
        <v>20</v>
      </c>
      <c r="BL18" s="38" t="s">
        <v>20</v>
      </c>
      <c r="BM18" s="38" t="s">
        <v>20</v>
      </c>
      <c r="BN18" s="38" t="s">
        <v>20</v>
      </c>
      <c r="BO18" s="38" t="s">
        <v>20</v>
      </c>
      <c r="BP18" s="104" t="s">
        <v>20</v>
      </c>
      <c r="BQ18" s="38" t="s">
        <v>20</v>
      </c>
      <c r="BR18" s="38" t="s">
        <v>20</v>
      </c>
      <c r="BS18" s="38" t="s">
        <v>20</v>
      </c>
      <c r="BT18" s="38" t="s">
        <v>20</v>
      </c>
      <c r="BU18" s="38" t="s">
        <v>20</v>
      </c>
      <c r="BV18" s="38" t="s">
        <v>20</v>
      </c>
      <c r="BW18" s="76" t="s">
        <v>18</v>
      </c>
      <c r="BX18" s="22">
        <f t="shared" si="4"/>
        <v>1</v>
      </c>
    </row>
    <row r="19">
      <c r="A19" s="24">
        <v>15.0</v>
      </c>
      <c r="B19" s="62"/>
      <c r="C19" s="58"/>
      <c r="D19" s="27" t="s">
        <v>15</v>
      </c>
      <c r="E19" s="29" t="s">
        <v>15</v>
      </c>
      <c r="F19" s="47" t="s">
        <v>16</v>
      </c>
      <c r="G19" s="27" t="s">
        <v>15</v>
      </c>
      <c r="H19" s="27" t="s">
        <v>15</v>
      </c>
      <c r="I19" s="27" t="s">
        <v>15</v>
      </c>
      <c r="J19" s="27" t="s">
        <v>15</v>
      </c>
      <c r="K19" s="27" t="s">
        <v>15</v>
      </c>
      <c r="L19" s="29" t="s">
        <v>15</v>
      </c>
      <c r="M19" s="29" t="s">
        <v>15</v>
      </c>
      <c r="N19" s="29" t="s">
        <v>15</v>
      </c>
      <c r="O19" s="29" t="s">
        <v>15</v>
      </c>
      <c r="P19" s="29" t="s">
        <v>15</v>
      </c>
      <c r="Q19" s="29" t="s">
        <v>15</v>
      </c>
      <c r="R19" s="29" t="s">
        <v>15</v>
      </c>
      <c r="S19" s="29" t="s">
        <v>15</v>
      </c>
      <c r="T19" s="29" t="s">
        <v>15</v>
      </c>
      <c r="U19" s="29" t="s">
        <v>15</v>
      </c>
      <c r="V19" s="29" t="s">
        <v>15</v>
      </c>
      <c r="W19" s="29" t="s">
        <v>15</v>
      </c>
      <c r="X19" s="34">
        <f t="shared" si="1"/>
        <v>0.95</v>
      </c>
      <c r="Y19" s="29" t="s">
        <v>15</v>
      </c>
      <c r="Z19" s="29" t="s">
        <v>15</v>
      </c>
      <c r="AA19" s="29" t="s">
        <v>15</v>
      </c>
      <c r="AB19" s="29" t="s">
        <v>15</v>
      </c>
      <c r="AC19" s="36" t="s">
        <v>15</v>
      </c>
      <c r="AD19" s="29" t="s">
        <v>16</v>
      </c>
      <c r="AE19" s="29" t="s">
        <v>15</v>
      </c>
      <c r="AF19" s="29" t="s">
        <v>15</v>
      </c>
      <c r="AG19" s="29" t="s">
        <v>15</v>
      </c>
      <c r="AH19" s="29" t="s">
        <v>15</v>
      </c>
      <c r="AI19" s="29" t="s">
        <v>15</v>
      </c>
      <c r="AJ19" s="29" t="s">
        <v>15</v>
      </c>
      <c r="AK19" s="29" t="s">
        <v>15</v>
      </c>
      <c r="AL19" s="29" t="s">
        <v>15</v>
      </c>
      <c r="AM19" s="39" t="s">
        <v>15</v>
      </c>
      <c r="AN19" s="29" t="s">
        <v>15</v>
      </c>
      <c r="AO19" s="39" t="s">
        <v>15</v>
      </c>
      <c r="AP19" s="29" t="s">
        <v>15</v>
      </c>
      <c r="AQ19" s="29" t="s">
        <v>15</v>
      </c>
      <c r="AR19" s="29" t="s">
        <v>15</v>
      </c>
      <c r="AS19" s="34">
        <f t="shared" si="2"/>
        <v>0.95</v>
      </c>
      <c r="AT19" s="29" t="s">
        <v>15</v>
      </c>
      <c r="AU19" s="29" t="s">
        <v>15</v>
      </c>
      <c r="AV19" s="29" t="s">
        <v>15</v>
      </c>
      <c r="AW19" s="29" t="s">
        <v>15</v>
      </c>
      <c r="AX19" s="29" t="s">
        <v>15</v>
      </c>
      <c r="AY19" s="29" t="s">
        <v>15</v>
      </c>
      <c r="AZ19" s="29" t="s">
        <v>15</v>
      </c>
      <c r="BA19" s="34">
        <f t="shared" si="3"/>
        <v>1</v>
      </c>
      <c r="BB19" s="29" t="s">
        <v>15</v>
      </c>
      <c r="BC19" s="29" t="s">
        <v>16</v>
      </c>
      <c r="BD19" s="29" t="s">
        <v>15</v>
      </c>
      <c r="BE19" s="29" t="s">
        <v>15</v>
      </c>
      <c r="BF19" s="29"/>
      <c r="BG19" s="50" t="s">
        <v>15</v>
      </c>
      <c r="BH19" s="50" t="s">
        <v>16</v>
      </c>
      <c r="BI19" s="50" t="s">
        <v>15</v>
      </c>
      <c r="BJ19" s="50" t="s">
        <v>15</v>
      </c>
      <c r="BK19" s="90" t="s">
        <v>15</v>
      </c>
      <c r="BL19" s="90" t="s">
        <v>15</v>
      </c>
      <c r="BM19" s="29" t="s">
        <v>15</v>
      </c>
      <c r="BN19" s="65" t="s">
        <v>15</v>
      </c>
      <c r="BO19" s="43" t="s">
        <v>15</v>
      </c>
      <c r="BP19" s="44" t="s">
        <v>15</v>
      </c>
      <c r="BQ19" s="53"/>
      <c r="BR19" s="53"/>
      <c r="BS19" s="29" t="s">
        <v>16</v>
      </c>
      <c r="BT19" s="53"/>
      <c r="BU19" s="53"/>
      <c r="BV19" s="29" t="s">
        <v>16</v>
      </c>
      <c r="BW19" s="54" t="s">
        <v>15</v>
      </c>
      <c r="BX19" s="22">
        <f t="shared" si="4"/>
        <v>0.7647058824</v>
      </c>
    </row>
    <row r="20">
      <c r="A20" s="24">
        <v>16.0</v>
      </c>
      <c r="B20" s="105"/>
      <c r="C20" s="69" t="s">
        <v>19</v>
      </c>
      <c r="D20" s="38" t="s">
        <v>20</v>
      </c>
      <c r="E20" s="41" t="s">
        <v>20</v>
      </c>
      <c r="F20" s="89" t="s">
        <v>18</v>
      </c>
      <c r="G20" s="38" t="s">
        <v>20</v>
      </c>
      <c r="H20" s="38" t="s">
        <v>20</v>
      </c>
      <c r="I20" s="38" t="s">
        <v>20</v>
      </c>
      <c r="J20" s="38" t="s">
        <v>20</v>
      </c>
      <c r="K20" s="38" t="s">
        <v>20</v>
      </c>
      <c r="L20" s="38"/>
      <c r="M20" s="38"/>
      <c r="N20" s="38" t="s">
        <v>20</v>
      </c>
      <c r="O20" s="38" t="s">
        <v>20</v>
      </c>
      <c r="P20" s="41" t="s">
        <v>20</v>
      </c>
      <c r="Q20" s="38"/>
      <c r="R20" s="38"/>
      <c r="S20" s="38"/>
      <c r="T20" s="38" t="s">
        <v>20</v>
      </c>
      <c r="U20" s="38"/>
      <c r="V20" s="38"/>
      <c r="W20" s="41" t="s">
        <v>16</v>
      </c>
      <c r="X20" s="40">
        <f t="shared" si="1"/>
        <v>0</v>
      </c>
      <c r="Y20" s="38"/>
      <c r="Z20" s="38"/>
      <c r="AA20" s="38"/>
      <c r="AB20" s="38"/>
      <c r="AC20" s="42" t="s">
        <v>18</v>
      </c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40" t="str">
        <f t="shared" si="2"/>
        <v>0,00%</v>
      </c>
      <c r="AT20" s="38"/>
      <c r="AU20" s="38"/>
      <c r="AV20" s="38"/>
      <c r="AW20" s="38"/>
      <c r="AX20" s="38"/>
      <c r="AY20" s="38"/>
      <c r="AZ20" s="38"/>
      <c r="BA20" s="40" t="str">
        <f t="shared" si="3"/>
        <v>0,00%</v>
      </c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41" t="s">
        <v>20</v>
      </c>
      <c r="BN20" s="74" t="s">
        <v>18</v>
      </c>
      <c r="BO20" s="38"/>
      <c r="BP20" s="49" t="s">
        <v>18</v>
      </c>
      <c r="BQ20" s="38"/>
      <c r="BR20" s="38"/>
      <c r="BS20" s="38"/>
      <c r="BT20" s="38"/>
      <c r="BU20" s="38"/>
      <c r="BV20" s="38"/>
      <c r="BW20" s="76" t="s">
        <v>18</v>
      </c>
      <c r="BX20" s="48" t="str">
        <f t="shared" si="4"/>
        <v>0,00%</v>
      </c>
    </row>
    <row r="21">
      <c r="A21" s="24">
        <v>17.0</v>
      </c>
      <c r="B21" s="62"/>
      <c r="C21" s="58"/>
      <c r="D21" s="27" t="s">
        <v>15</v>
      </c>
      <c r="E21" s="29" t="s">
        <v>16</v>
      </c>
      <c r="F21" s="47" t="s">
        <v>16</v>
      </c>
      <c r="G21" s="27" t="s">
        <v>15</v>
      </c>
      <c r="H21" s="27" t="s">
        <v>15</v>
      </c>
      <c r="I21" s="27" t="s">
        <v>15</v>
      </c>
      <c r="J21" s="27" t="s">
        <v>15</v>
      </c>
      <c r="K21" s="78" t="s">
        <v>16</v>
      </c>
      <c r="L21" s="29" t="s">
        <v>15</v>
      </c>
      <c r="M21" s="29" t="s">
        <v>15</v>
      </c>
      <c r="N21" s="29" t="s">
        <v>15</v>
      </c>
      <c r="O21" s="29" t="s">
        <v>15</v>
      </c>
      <c r="P21" s="29" t="s">
        <v>16</v>
      </c>
      <c r="Q21" s="29" t="s">
        <v>15</v>
      </c>
      <c r="R21" s="29" t="s">
        <v>15</v>
      </c>
      <c r="S21" s="29" t="s">
        <v>15</v>
      </c>
      <c r="T21" s="29" t="s">
        <v>15</v>
      </c>
      <c r="U21" s="29" t="s">
        <v>15</v>
      </c>
      <c r="V21" s="29" t="s">
        <v>15</v>
      </c>
      <c r="W21" s="29" t="s">
        <v>15</v>
      </c>
      <c r="X21" s="34">
        <f t="shared" si="1"/>
        <v>0.8</v>
      </c>
      <c r="Y21" s="29" t="s">
        <v>15</v>
      </c>
      <c r="Z21" s="29" t="s">
        <v>15</v>
      </c>
      <c r="AA21" s="29" t="s">
        <v>15</v>
      </c>
      <c r="AB21" s="29" t="s">
        <v>15</v>
      </c>
      <c r="AC21" s="36" t="s">
        <v>15</v>
      </c>
      <c r="AD21" s="29" t="s">
        <v>15</v>
      </c>
      <c r="AE21" s="29" t="s">
        <v>16</v>
      </c>
      <c r="AF21" s="29" t="s">
        <v>15</v>
      </c>
      <c r="AG21" s="29" t="s">
        <v>15</v>
      </c>
      <c r="AH21" s="29" t="s">
        <v>15</v>
      </c>
      <c r="AI21" s="29" t="s">
        <v>15</v>
      </c>
      <c r="AJ21" s="29" t="s">
        <v>15</v>
      </c>
      <c r="AK21" s="29" t="s">
        <v>16</v>
      </c>
      <c r="AL21" s="29" t="s">
        <v>15</v>
      </c>
      <c r="AM21" s="39" t="s">
        <v>15</v>
      </c>
      <c r="AN21" s="29" t="s">
        <v>15</v>
      </c>
      <c r="AO21" s="39" t="s">
        <v>15</v>
      </c>
      <c r="AP21" s="29" t="s">
        <v>15</v>
      </c>
      <c r="AQ21" s="29" t="s">
        <v>15</v>
      </c>
      <c r="AR21" s="29" t="s">
        <v>15</v>
      </c>
      <c r="AS21" s="29">
        <f t="shared" si="2"/>
        <v>0.9</v>
      </c>
      <c r="AT21" s="29" t="s">
        <v>15</v>
      </c>
      <c r="AU21" s="29" t="s">
        <v>15</v>
      </c>
      <c r="AV21" s="29" t="s">
        <v>15</v>
      </c>
      <c r="AW21" s="29" t="s">
        <v>16</v>
      </c>
      <c r="AX21" s="29" t="s">
        <v>15</v>
      </c>
      <c r="AY21" s="29" t="s">
        <v>15</v>
      </c>
      <c r="AZ21" s="29" t="s">
        <v>15</v>
      </c>
      <c r="BA21" s="29">
        <f t="shared" si="3"/>
        <v>0.8571428571</v>
      </c>
      <c r="BB21" s="29" t="s">
        <v>15</v>
      </c>
      <c r="BC21" s="29" t="s">
        <v>15</v>
      </c>
      <c r="BD21" s="29" t="s">
        <v>15</v>
      </c>
      <c r="BE21" s="29" t="s">
        <v>15</v>
      </c>
      <c r="BF21" s="29"/>
      <c r="BG21" s="50" t="s">
        <v>15</v>
      </c>
      <c r="BH21" s="50" t="s">
        <v>15</v>
      </c>
      <c r="BI21" s="50" t="s">
        <v>15</v>
      </c>
      <c r="BJ21" s="50" t="s">
        <v>15</v>
      </c>
      <c r="BK21" s="50" t="s">
        <v>16</v>
      </c>
      <c r="BL21" s="50" t="s">
        <v>15</v>
      </c>
      <c r="BM21" s="29" t="s">
        <v>15</v>
      </c>
      <c r="BN21" s="71" t="s">
        <v>15</v>
      </c>
      <c r="BO21" s="43" t="s">
        <v>15</v>
      </c>
      <c r="BP21" s="44" t="s">
        <v>15</v>
      </c>
      <c r="BQ21" s="29"/>
      <c r="BR21" s="29"/>
      <c r="BS21" s="29" t="s">
        <v>16</v>
      </c>
      <c r="BT21" s="29"/>
      <c r="BU21" s="29"/>
      <c r="BV21" s="29" t="s">
        <v>15</v>
      </c>
      <c r="BW21" s="106" t="s">
        <v>16</v>
      </c>
      <c r="BX21" s="16">
        <f t="shared" si="4"/>
        <v>0.8235294118</v>
      </c>
    </row>
    <row r="22">
      <c r="A22" s="24">
        <v>18.0</v>
      </c>
      <c r="B22" s="91"/>
      <c r="C22" s="26"/>
      <c r="D22" s="78" t="s">
        <v>16</v>
      </c>
      <c r="E22" s="29" t="s">
        <v>16</v>
      </c>
      <c r="F22" s="27" t="s">
        <v>15</v>
      </c>
      <c r="G22" s="47" t="s">
        <v>16</v>
      </c>
      <c r="H22" s="27" t="s">
        <v>15</v>
      </c>
      <c r="I22" s="27" t="s">
        <v>15</v>
      </c>
      <c r="J22" s="27" t="s">
        <v>15</v>
      </c>
      <c r="K22" s="27" t="s">
        <v>15</v>
      </c>
      <c r="L22" s="29" t="s">
        <v>15</v>
      </c>
      <c r="M22" s="29" t="s">
        <v>15</v>
      </c>
      <c r="N22" s="29" t="s">
        <v>15</v>
      </c>
      <c r="O22" s="29" t="s">
        <v>15</v>
      </c>
      <c r="P22" s="29" t="s">
        <v>15</v>
      </c>
      <c r="Q22" s="29" t="s">
        <v>15</v>
      </c>
      <c r="R22" s="29" t="s">
        <v>15</v>
      </c>
      <c r="S22" s="29" t="s">
        <v>15</v>
      </c>
      <c r="T22" s="29" t="s">
        <v>15</v>
      </c>
      <c r="U22" s="29" t="s">
        <v>15</v>
      </c>
      <c r="V22" s="29" t="s">
        <v>16</v>
      </c>
      <c r="W22" s="29" t="s">
        <v>16</v>
      </c>
      <c r="X22" s="34">
        <f t="shared" si="1"/>
        <v>0.75</v>
      </c>
      <c r="Y22" s="29" t="s">
        <v>15</v>
      </c>
      <c r="Z22" s="29" t="s">
        <v>16</v>
      </c>
      <c r="AA22" s="29" t="s">
        <v>16</v>
      </c>
      <c r="AB22" s="29" t="s">
        <v>15</v>
      </c>
      <c r="AC22" s="36" t="s">
        <v>15</v>
      </c>
      <c r="AD22" s="29" t="s">
        <v>15</v>
      </c>
      <c r="AE22" s="29" t="s">
        <v>16</v>
      </c>
      <c r="AF22" s="29" t="s">
        <v>15</v>
      </c>
      <c r="AG22" s="29" t="s">
        <v>16</v>
      </c>
      <c r="AH22" s="29" t="s">
        <v>15</v>
      </c>
      <c r="AI22" s="29" t="s">
        <v>15</v>
      </c>
      <c r="AJ22" s="29" t="s">
        <v>15</v>
      </c>
      <c r="AK22" s="29" t="s">
        <v>16</v>
      </c>
      <c r="AL22" s="29" t="s">
        <v>15</v>
      </c>
      <c r="AM22" s="39" t="s">
        <v>15</v>
      </c>
      <c r="AN22" s="29" t="s">
        <v>16</v>
      </c>
      <c r="AO22" s="39" t="s">
        <v>15</v>
      </c>
      <c r="AP22" s="29" t="s">
        <v>15</v>
      </c>
      <c r="AQ22" s="29" t="s">
        <v>16</v>
      </c>
      <c r="AR22" s="29" t="s">
        <v>15</v>
      </c>
      <c r="AS22" s="34">
        <f t="shared" si="2"/>
        <v>0.65</v>
      </c>
      <c r="AT22" s="29" t="s">
        <v>15</v>
      </c>
      <c r="AU22" s="29" t="s">
        <v>15</v>
      </c>
      <c r="AV22" s="29" t="s">
        <v>15</v>
      </c>
      <c r="AW22" s="29" t="s">
        <v>15</v>
      </c>
      <c r="AX22" s="29" t="s">
        <v>16</v>
      </c>
      <c r="AY22" s="29" t="s">
        <v>16</v>
      </c>
      <c r="AZ22" s="29" t="s">
        <v>15</v>
      </c>
      <c r="BA22" s="34">
        <f t="shared" si="3"/>
        <v>0.7142857143</v>
      </c>
      <c r="BB22" s="29" t="s">
        <v>15</v>
      </c>
      <c r="BC22" s="29" t="s">
        <v>15</v>
      </c>
      <c r="BD22" s="29" t="s">
        <v>15</v>
      </c>
      <c r="BE22" s="29" t="s">
        <v>15</v>
      </c>
      <c r="BF22" s="29"/>
      <c r="BG22" s="50" t="s">
        <v>16</v>
      </c>
      <c r="BH22" s="50" t="s">
        <v>15</v>
      </c>
      <c r="BI22" s="50" t="s">
        <v>15</v>
      </c>
      <c r="BJ22" s="50" t="s">
        <v>16</v>
      </c>
      <c r="BK22" s="50" t="s">
        <v>16</v>
      </c>
      <c r="BL22" s="50" t="s">
        <v>15</v>
      </c>
      <c r="BM22" s="29" t="s">
        <v>15</v>
      </c>
      <c r="BN22" s="65" t="s">
        <v>15</v>
      </c>
      <c r="BO22" s="29" t="s">
        <v>16</v>
      </c>
      <c r="BP22" s="44" t="s">
        <v>15</v>
      </c>
      <c r="BQ22" s="53"/>
      <c r="BR22" s="53"/>
      <c r="BS22" s="29" t="s">
        <v>16</v>
      </c>
      <c r="BT22" s="53"/>
      <c r="BU22" s="53"/>
      <c r="BV22" s="29" t="s">
        <v>15</v>
      </c>
      <c r="BW22" s="67" t="s">
        <v>16</v>
      </c>
      <c r="BX22" s="22">
        <f t="shared" si="4"/>
        <v>0.6470588235</v>
      </c>
    </row>
    <row r="23">
      <c r="A23" s="24">
        <v>19.0</v>
      </c>
      <c r="B23" s="86"/>
      <c r="C23" s="69" t="s">
        <v>33</v>
      </c>
      <c r="D23" s="27" t="s">
        <v>15</v>
      </c>
      <c r="E23" s="29" t="s">
        <v>15</v>
      </c>
      <c r="F23" s="47" t="s">
        <v>16</v>
      </c>
      <c r="G23" s="27" t="s">
        <v>15</v>
      </c>
      <c r="H23" s="27" t="s">
        <v>15</v>
      </c>
      <c r="I23" s="27" t="s">
        <v>15</v>
      </c>
      <c r="J23" s="27" t="s">
        <v>15</v>
      </c>
      <c r="K23" s="78" t="s">
        <v>16</v>
      </c>
      <c r="L23" s="29" t="s">
        <v>15</v>
      </c>
      <c r="M23" s="29" t="s">
        <v>16</v>
      </c>
      <c r="N23" s="29" t="s">
        <v>15</v>
      </c>
      <c r="O23" s="29" t="s">
        <v>15</v>
      </c>
      <c r="P23" s="29" t="s">
        <v>15</v>
      </c>
      <c r="Q23" s="29" t="s">
        <v>15</v>
      </c>
      <c r="R23" s="29" t="s">
        <v>15</v>
      </c>
      <c r="S23" s="29" t="s">
        <v>16</v>
      </c>
      <c r="T23" s="38" t="s">
        <v>20</v>
      </c>
      <c r="U23" s="38" t="s">
        <v>20</v>
      </c>
      <c r="V23" s="38" t="s">
        <v>20</v>
      </c>
      <c r="W23" s="38" t="s">
        <v>20</v>
      </c>
      <c r="X23" s="34">
        <f t="shared" si="1"/>
        <v>0.75</v>
      </c>
      <c r="Y23" s="38" t="s">
        <v>20</v>
      </c>
      <c r="Z23" s="38" t="s">
        <v>20</v>
      </c>
      <c r="AA23" s="38" t="s">
        <v>20</v>
      </c>
      <c r="AB23" s="38" t="s">
        <v>20</v>
      </c>
      <c r="AC23" s="38" t="s">
        <v>20</v>
      </c>
      <c r="AD23" s="38" t="s">
        <v>20</v>
      </c>
      <c r="AE23" s="38" t="s">
        <v>20</v>
      </c>
      <c r="AF23" s="38" t="s">
        <v>20</v>
      </c>
      <c r="AG23" s="38" t="s">
        <v>20</v>
      </c>
      <c r="AH23" s="38" t="s">
        <v>20</v>
      </c>
      <c r="AI23" s="38" t="s">
        <v>20</v>
      </c>
      <c r="AJ23" s="38" t="s">
        <v>20</v>
      </c>
      <c r="AK23" s="38" t="s">
        <v>20</v>
      </c>
      <c r="AL23" s="38" t="s">
        <v>20</v>
      </c>
      <c r="AM23" s="38" t="s">
        <v>20</v>
      </c>
      <c r="AN23" s="38"/>
      <c r="AO23" s="38" t="s">
        <v>20</v>
      </c>
      <c r="AP23" s="38"/>
      <c r="AQ23" s="38"/>
      <c r="AR23" s="38" t="s">
        <v>20</v>
      </c>
      <c r="AS23" s="34" t="str">
        <f t="shared" si="2"/>
        <v>0,00%</v>
      </c>
      <c r="AT23" s="38" t="s">
        <v>20</v>
      </c>
      <c r="AU23" s="38" t="s">
        <v>20</v>
      </c>
      <c r="AV23" s="38" t="s">
        <v>20</v>
      </c>
      <c r="AW23" s="38" t="s">
        <v>20</v>
      </c>
      <c r="AX23" s="38" t="s">
        <v>20</v>
      </c>
      <c r="AY23" s="38" t="s">
        <v>20</v>
      </c>
      <c r="AZ23" s="38" t="s">
        <v>20</v>
      </c>
      <c r="BA23" s="34" t="str">
        <f t="shared" si="3"/>
        <v>0,00%</v>
      </c>
      <c r="BB23" s="38" t="s">
        <v>20</v>
      </c>
      <c r="BC23" s="38" t="s">
        <v>20</v>
      </c>
      <c r="BD23" s="38" t="s">
        <v>20</v>
      </c>
      <c r="BE23" s="38" t="s">
        <v>20</v>
      </c>
      <c r="BF23" s="38" t="s">
        <v>20</v>
      </c>
      <c r="BG23" s="38" t="s">
        <v>20</v>
      </c>
      <c r="BH23" s="38" t="s">
        <v>20</v>
      </c>
      <c r="BI23" s="38"/>
      <c r="BJ23" s="38" t="s">
        <v>20</v>
      </c>
      <c r="BK23" s="38" t="s">
        <v>20</v>
      </c>
      <c r="BL23" s="38" t="s">
        <v>20</v>
      </c>
      <c r="BM23" s="38" t="s">
        <v>20</v>
      </c>
      <c r="BN23" s="74" t="s">
        <v>18</v>
      </c>
      <c r="BO23" s="38" t="s">
        <v>20</v>
      </c>
      <c r="BP23" s="49" t="s">
        <v>18</v>
      </c>
      <c r="BQ23" s="38" t="s">
        <v>20</v>
      </c>
      <c r="BR23" s="38" t="s">
        <v>20</v>
      </c>
      <c r="BS23" s="38" t="s">
        <v>20</v>
      </c>
      <c r="BT23" s="38" t="s">
        <v>20</v>
      </c>
      <c r="BU23" s="38" t="s">
        <v>20</v>
      </c>
      <c r="BV23" s="38" t="s">
        <v>20</v>
      </c>
      <c r="BW23" s="76" t="s">
        <v>18</v>
      </c>
      <c r="BX23" s="22" t="str">
        <f t="shared" si="4"/>
        <v>0,00%</v>
      </c>
    </row>
    <row r="24">
      <c r="A24" s="24">
        <v>20.0</v>
      </c>
      <c r="B24" s="109"/>
      <c r="C24" s="110" t="s">
        <v>34</v>
      </c>
      <c r="D24" s="27" t="s">
        <v>15</v>
      </c>
      <c r="E24" s="29" t="s">
        <v>15</v>
      </c>
      <c r="F24" s="27" t="s">
        <v>15</v>
      </c>
      <c r="G24" s="27" t="s">
        <v>15</v>
      </c>
      <c r="H24" s="27" t="s">
        <v>15</v>
      </c>
      <c r="I24" s="78" t="s">
        <v>16</v>
      </c>
      <c r="J24" s="27" t="s">
        <v>15</v>
      </c>
      <c r="K24" s="27" t="s">
        <v>15</v>
      </c>
      <c r="L24" s="29" t="s">
        <v>15</v>
      </c>
      <c r="M24" s="29" t="s">
        <v>15</v>
      </c>
      <c r="N24" s="29" t="s">
        <v>16</v>
      </c>
      <c r="O24" s="29" t="s">
        <v>15</v>
      </c>
      <c r="P24" s="29" t="s">
        <v>15</v>
      </c>
      <c r="Q24" s="29" t="s">
        <v>15</v>
      </c>
      <c r="R24" s="29" t="s">
        <v>16</v>
      </c>
      <c r="S24" s="29" t="s">
        <v>16</v>
      </c>
      <c r="T24" s="29" t="s">
        <v>15</v>
      </c>
      <c r="U24" s="29" t="s">
        <v>15</v>
      </c>
      <c r="V24" s="29" t="s">
        <v>15</v>
      </c>
      <c r="W24" s="29" t="s">
        <v>15</v>
      </c>
      <c r="X24" s="34">
        <f t="shared" si="1"/>
        <v>0.8</v>
      </c>
      <c r="Y24" s="29" t="s">
        <v>15</v>
      </c>
      <c r="Z24" s="29" t="s">
        <v>15</v>
      </c>
      <c r="AA24" s="29" t="s">
        <v>16</v>
      </c>
      <c r="AB24" s="29" t="s">
        <v>15</v>
      </c>
      <c r="AC24" s="36" t="s">
        <v>15</v>
      </c>
      <c r="AD24" s="29" t="s">
        <v>15</v>
      </c>
      <c r="AE24" s="29" t="s">
        <v>16</v>
      </c>
      <c r="AF24" s="29" t="s">
        <v>15</v>
      </c>
      <c r="AG24" s="29" t="s">
        <v>16</v>
      </c>
      <c r="AH24" s="29" t="s">
        <v>15</v>
      </c>
      <c r="AI24" s="29" t="s">
        <v>16</v>
      </c>
      <c r="AJ24" s="29" t="s">
        <v>15</v>
      </c>
      <c r="AK24" s="29" t="s">
        <v>15</v>
      </c>
      <c r="AL24" s="29" t="s">
        <v>15</v>
      </c>
      <c r="AM24" s="39" t="s">
        <v>15</v>
      </c>
      <c r="AN24" s="29" t="s">
        <v>16</v>
      </c>
      <c r="AO24" s="39" t="s">
        <v>15</v>
      </c>
      <c r="AP24" s="29" t="s">
        <v>16</v>
      </c>
      <c r="AQ24" s="29" t="s">
        <v>16</v>
      </c>
      <c r="AR24" s="29" t="s">
        <v>16</v>
      </c>
      <c r="AS24" s="34">
        <f t="shared" si="2"/>
        <v>0.6</v>
      </c>
      <c r="AT24" s="41" t="s">
        <v>16</v>
      </c>
      <c r="AU24" s="41" t="s">
        <v>16</v>
      </c>
      <c r="AV24" s="41" t="s">
        <v>16</v>
      </c>
      <c r="AW24" s="41" t="s">
        <v>16</v>
      </c>
      <c r="AX24" s="41" t="s">
        <v>16</v>
      </c>
      <c r="AY24" s="38" t="s">
        <v>20</v>
      </c>
      <c r="AZ24" s="38" t="s">
        <v>20</v>
      </c>
      <c r="BA24" s="38" t="s">
        <v>20</v>
      </c>
      <c r="BB24" s="38" t="s">
        <v>20</v>
      </c>
      <c r="BC24" s="38" t="s">
        <v>20</v>
      </c>
      <c r="BD24" s="38" t="s">
        <v>20</v>
      </c>
      <c r="BE24" s="38" t="s">
        <v>20</v>
      </c>
      <c r="BF24" s="38" t="s">
        <v>20</v>
      </c>
      <c r="BG24" s="38" t="s">
        <v>20</v>
      </c>
      <c r="BH24" s="38" t="s">
        <v>20</v>
      </c>
      <c r="BI24" s="38" t="s">
        <v>20</v>
      </c>
      <c r="BJ24" s="38" t="s">
        <v>20</v>
      </c>
      <c r="BK24" s="38" t="s">
        <v>20</v>
      </c>
      <c r="BL24" s="38" t="s">
        <v>20</v>
      </c>
      <c r="BM24" s="38" t="s">
        <v>20</v>
      </c>
      <c r="BN24" s="38" t="s">
        <v>20</v>
      </c>
      <c r="BO24" s="38" t="s">
        <v>20</v>
      </c>
      <c r="BP24" s="38" t="s">
        <v>20</v>
      </c>
      <c r="BQ24" s="38" t="s">
        <v>20</v>
      </c>
      <c r="BR24" s="38" t="s">
        <v>20</v>
      </c>
      <c r="BS24" s="38" t="s">
        <v>20</v>
      </c>
      <c r="BT24" s="38" t="s">
        <v>20</v>
      </c>
      <c r="BU24" s="38" t="s">
        <v>20</v>
      </c>
      <c r="BW24" s="111" t="s">
        <v>18</v>
      </c>
      <c r="BX24" s="22" t="str">
        <f>IFERROR(COUNTIF(BA24:BU24,"P")/(COUNTIF(BA24:BU24,"P")+COUNTIF(BA24:BU24,"F")), "0,00%")</f>
        <v>0,00%</v>
      </c>
    </row>
    <row r="25">
      <c r="A25" s="24">
        <v>21.0</v>
      </c>
      <c r="B25" s="105"/>
      <c r="C25" s="88" t="s">
        <v>35</v>
      </c>
      <c r="D25" s="38" t="s">
        <v>20</v>
      </c>
      <c r="E25" s="41" t="s">
        <v>20</v>
      </c>
      <c r="F25" s="89" t="s">
        <v>18</v>
      </c>
      <c r="G25" s="38" t="s">
        <v>20</v>
      </c>
      <c r="H25" s="38" t="s">
        <v>20</v>
      </c>
      <c r="I25" s="38" t="s">
        <v>20</v>
      </c>
      <c r="J25" s="38" t="s">
        <v>20</v>
      </c>
      <c r="K25" s="38" t="s">
        <v>20</v>
      </c>
      <c r="L25" s="38"/>
      <c r="M25" s="38"/>
      <c r="N25" s="38" t="s">
        <v>20</v>
      </c>
      <c r="O25" s="38" t="s">
        <v>20</v>
      </c>
      <c r="P25" s="38" t="s">
        <v>20</v>
      </c>
      <c r="Q25" s="38"/>
      <c r="R25" s="38"/>
      <c r="S25" s="38"/>
      <c r="T25" s="38" t="s">
        <v>20</v>
      </c>
      <c r="U25" s="38"/>
      <c r="V25" s="38"/>
      <c r="W25" s="38"/>
      <c r="X25" s="40" t="str">
        <f t="shared" si="1"/>
        <v>0,00%</v>
      </c>
      <c r="Y25" s="38"/>
      <c r="Z25" s="38"/>
      <c r="AA25" s="38"/>
      <c r="AB25" s="38"/>
      <c r="AC25" s="42" t="s">
        <v>18</v>
      </c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40" t="str">
        <f t="shared" si="2"/>
        <v>0,00%</v>
      </c>
      <c r="AT25" s="38"/>
      <c r="AU25" s="38"/>
      <c r="AV25" s="38"/>
      <c r="AW25" s="38"/>
      <c r="AX25" s="38"/>
      <c r="AY25" s="38"/>
      <c r="AZ25" s="38"/>
      <c r="BA25" s="40" t="str">
        <f t="shared" ref="BA25:BA30" si="5">IFERROR(COUNTIF(AT25:AZ25,"P")/(COUNTIF(AT25:AZ25,"P")+COUNTIF(AT25:AZ25,"F")), "0,00%")</f>
        <v>0,00%</v>
      </c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74" t="s">
        <v>18</v>
      </c>
      <c r="BO25" s="38"/>
      <c r="BP25" s="49" t="s">
        <v>18</v>
      </c>
      <c r="BQ25" s="38"/>
      <c r="BR25" s="38"/>
      <c r="BS25" s="38"/>
      <c r="BT25" s="38"/>
      <c r="BU25" s="38"/>
      <c r="BV25" s="38"/>
      <c r="BW25" s="76" t="s">
        <v>18</v>
      </c>
      <c r="BX25" s="48" t="str">
        <f t="shared" ref="BX25:BX30" si="6">IFERROR(COUNTIF(BB25:BW25,"P")/(COUNTIF(BB25:BW25,"P")+COUNTIF(BB25:BW25,"F")), "0,00%")</f>
        <v>0,00%</v>
      </c>
    </row>
    <row r="26">
      <c r="A26" s="24">
        <v>22.0</v>
      </c>
      <c r="B26" s="25"/>
      <c r="C26" s="58"/>
      <c r="D26" s="27" t="s">
        <v>15</v>
      </c>
      <c r="E26" s="29" t="s">
        <v>15</v>
      </c>
      <c r="F26" s="47" t="s">
        <v>16</v>
      </c>
      <c r="G26" s="27" t="s">
        <v>15</v>
      </c>
      <c r="H26" s="78" t="s">
        <v>16</v>
      </c>
      <c r="I26" s="78" t="s">
        <v>16</v>
      </c>
      <c r="J26" s="27" t="s">
        <v>15</v>
      </c>
      <c r="K26" s="78" t="s">
        <v>16</v>
      </c>
      <c r="L26" s="29" t="s">
        <v>16</v>
      </c>
      <c r="M26" s="29" t="s">
        <v>16</v>
      </c>
      <c r="N26" s="29" t="s">
        <v>16</v>
      </c>
      <c r="O26" s="29" t="s">
        <v>15</v>
      </c>
      <c r="P26" s="29" t="s">
        <v>15</v>
      </c>
      <c r="Q26" s="108" t="s">
        <v>16</v>
      </c>
      <c r="R26" s="108" t="s">
        <v>15</v>
      </c>
      <c r="S26" s="108" t="s">
        <v>15</v>
      </c>
      <c r="T26" s="108" t="s">
        <v>15</v>
      </c>
      <c r="U26" s="108" t="s">
        <v>15</v>
      </c>
      <c r="V26" s="108" t="s">
        <v>15</v>
      </c>
      <c r="W26" s="108" t="s">
        <v>15</v>
      </c>
      <c r="X26" s="34">
        <f t="shared" si="1"/>
        <v>0.6</v>
      </c>
      <c r="Y26" s="29" t="s">
        <v>15</v>
      </c>
      <c r="Z26" s="29" t="s">
        <v>15</v>
      </c>
      <c r="AA26" s="29" t="s">
        <v>16</v>
      </c>
      <c r="AB26" s="29" t="s">
        <v>15</v>
      </c>
      <c r="AC26" s="36" t="s">
        <v>15</v>
      </c>
      <c r="AD26" s="29" t="s">
        <v>16</v>
      </c>
      <c r="AE26" s="29" t="s">
        <v>16</v>
      </c>
      <c r="AF26" s="29" t="s">
        <v>15</v>
      </c>
      <c r="AG26" s="29" t="s">
        <v>16</v>
      </c>
      <c r="AH26" s="29" t="s">
        <v>15</v>
      </c>
      <c r="AI26" s="29" t="s">
        <v>15</v>
      </c>
      <c r="AJ26" s="29" t="s">
        <v>15</v>
      </c>
      <c r="AK26" s="29" t="s">
        <v>15</v>
      </c>
      <c r="AL26" s="29" t="s">
        <v>16</v>
      </c>
      <c r="AM26" s="39" t="s">
        <v>15</v>
      </c>
      <c r="AN26" s="29" t="s">
        <v>16</v>
      </c>
      <c r="AO26" s="29" t="s">
        <v>16</v>
      </c>
      <c r="AP26" s="29" t="s">
        <v>16</v>
      </c>
      <c r="AQ26" s="29" t="s">
        <v>15</v>
      </c>
      <c r="AR26" s="29" t="s">
        <v>15</v>
      </c>
      <c r="AS26" s="34">
        <f t="shared" si="2"/>
        <v>0.6</v>
      </c>
      <c r="AT26" s="29" t="s">
        <v>15</v>
      </c>
      <c r="AU26" s="29" t="s">
        <v>15</v>
      </c>
      <c r="AV26" s="29" t="s">
        <v>15</v>
      </c>
      <c r="AW26" s="29" t="s">
        <v>15</v>
      </c>
      <c r="AX26" s="29" t="s">
        <v>15</v>
      </c>
      <c r="AY26" s="29" t="s">
        <v>15</v>
      </c>
      <c r="AZ26" s="29" t="s">
        <v>16</v>
      </c>
      <c r="BA26" s="34">
        <f t="shared" si="5"/>
        <v>0.8571428571</v>
      </c>
      <c r="BB26" s="29" t="s">
        <v>15</v>
      </c>
      <c r="BC26" s="29" t="s">
        <v>15</v>
      </c>
      <c r="BD26" s="29" t="s">
        <v>16</v>
      </c>
      <c r="BE26" s="29" t="s">
        <v>15</v>
      </c>
      <c r="BF26" s="29"/>
      <c r="BG26" s="29" t="s">
        <v>16</v>
      </c>
      <c r="BH26" s="90" t="s">
        <v>16</v>
      </c>
      <c r="BI26" s="90" t="s">
        <v>15</v>
      </c>
      <c r="BJ26" s="90" t="s">
        <v>15</v>
      </c>
      <c r="BK26" s="90" t="s">
        <v>16</v>
      </c>
      <c r="BL26" s="90" t="s">
        <v>15</v>
      </c>
      <c r="BM26" s="29" t="s">
        <v>16</v>
      </c>
      <c r="BN26" s="51" t="s">
        <v>16</v>
      </c>
      <c r="BO26" s="43" t="s">
        <v>15</v>
      </c>
      <c r="BP26" s="44" t="s">
        <v>15</v>
      </c>
      <c r="BQ26" s="53"/>
      <c r="BR26" s="53"/>
      <c r="BS26" s="29" t="s">
        <v>15</v>
      </c>
      <c r="BT26" s="53"/>
      <c r="BU26" s="53"/>
      <c r="BV26" s="29" t="s">
        <v>15</v>
      </c>
      <c r="BW26" s="67" t="s">
        <v>16</v>
      </c>
      <c r="BX26" s="22">
        <f t="shared" si="6"/>
        <v>0.5882352941</v>
      </c>
    </row>
    <row r="27">
      <c r="A27" s="24">
        <v>23.0</v>
      </c>
      <c r="B27" s="81"/>
      <c r="C27" s="113"/>
      <c r="D27" s="27" t="s">
        <v>15</v>
      </c>
      <c r="E27" s="28" t="s">
        <v>16</v>
      </c>
      <c r="F27" s="27" t="s">
        <v>15</v>
      </c>
      <c r="G27" s="27" t="s">
        <v>15</v>
      </c>
      <c r="H27" s="27" t="s">
        <v>15</v>
      </c>
      <c r="I27" s="27" t="s">
        <v>15</v>
      </c>
      <c r="J27" s="27" t="s">
        <v>15</v>
      </c>
      <c r="K27" s="27" t="s">
        <v>15</v>
      </c>
      <c r="L27" s="29" t="s">
        <v>15</v>
      </c>
      <c r="M27" s="29" t="s">
        <v>15</v>
      </c>
      <c r="N27" s="29" t="s">
        <v>15</v>
      </c>
      <c r="O27" s="29" t="s">
        <v>15</v>
      </c>
      <c r="P27" s="29" t="s">
        <v>15</v>
      </c>
      <c r="Q27" s="29" t="s">
        <v>15</v>
      </c>
      <c r="R27" s="29" t="s">
        <v>15</v>
      </c>
      <c r="S27" s="29" t="s">
        <v>16</v>
      </c>
      <c r="T27" s="29" t="s">
        <v>16</v>
      </c>
      <c r="U27" s="29" t="s">
        <v>15</v>
      </c>
      <c r="V27" s="29" t="s">
        <v>15</v>
      </c>
      <c r="W27" s="29" t="s">
        <v>15</v>
      </c>
      <c r="X27" s="34">
        <f t="shared" si="1"/>
        <v>0.85</v>
      </c>
      <c r="Y27" s="29" t="s">
        <v>15</v>
      </c>
      <c r="Z27" s="29" t="s">
        <v>15</v>
      </c>
      <c r="AA27" s="29" t="s">
        <v>15</v>
      </c>
      <c r="AB27" s="29" t="s">
        <v>15</v>
      </c>
      <c r="AC27" s="36" t="s">
        <v>15</v>
      </c>
      <c r="AD27" s="29" t="s">
        <v>15</v>
      </c>
      <c r="AE27" s="29" t="s">
        <v>15</v>
      </c>
      <c r="AF27" s="29" t="s">
        <v>15</v>
      </c>
      <c r="AG27" s="29" t="s">
        <v>15</v>
      </c>
      <c r="AH27" s="29" t="s">
        <v>16</v>
      </c>
      <c r="AI27" s="29" t="s">
        <v>15</v>
      </c>
      <c r="AJ27" s="29" t="s">
        <v>15</v>
      </c>
      <c r="AK27" s="29" t="s">
        <v>15</v>
      </c>
      <c r="AL27" s="29" t="s">
        <v>15</v>
      </c>
      <c r="AM27" s="39" t="s">
        <v>15</v>
      </c>
      <c r="AN27" s="29" t="s">
        <v>15</v>
      </c>
      <c r="AO27" s="39" t="s">
        <v>15</v>
      </c>
      <c r="AP27" s="29" t="s">
        <v>15</v>
      </c>
      <c r="AQ27" s="29" t="s">
        <v>15</v>
      </c>
      <c r="AR27" s="29" t="s">
        <v>15</v>
      </c>
      <c r="AS27" s="34">
        <f t="shared" si="2"/>
        <v>0.95</v>
      </c>
      <c r="AT27" s="29" t="s">
        <v>15</v>
      </c>
      <c r="AU27" s="29" t="s">
        <v>15</v>
      </c>
      <c r="AV27" s="29" t="s">
        <v>15</v>
      </c>
      <c r="AW27" s="29" t="s">
        <v>16</v>
      </c>
      <c r="AX27" s="29" t="s">
        <v>15</v>
      </c>
      <c r="AY27" s="29" t="s">
        <v>15</v>
      </c>
      <c r="AZ27" s="29" t="s">
        <v>15</v>
      </c>
      <c r="BA27" s="34">
        <f t="shared" si="5"/>
        <v>0.8571428571</v>
      </c>
      <c r="BB27" s="29" t="s">
        <v>15</v>
      </c>
      <c r="BC27" s="29" t="s">
        <v>15</v>
      </c>
      <c r="BD27" s="29" t="s">
        <v>15</v>
      </c>
      <c r="BE27" s="29" t="s">
        <v>16</v>
      </c>
      <c r="BF27" s="29"/>
      <c r="BG27" s="90" t="s">
        <v>15</v>
      </c>
      <c r="BH27" s="90" t="s">
        <v>15</v>
      </c>
      <c r="BI27" s="90" t="s">
        <v>15</v>
      </c>
      <c r="BJ27" s="90" t="s">
        <v>15</v>
      </c>
      <c r="BK27" s="90" t="s">
        <v>16</v>
      </c>
      <c r="BL27" s="90" t="s">
        <v>15</v>
      </c>
      <c r="BM27" s="29" t="s">
        <v>15</v>
      </c>
      <c r="BN27" s="71" t="s">
        <v>15</v>
      </c>
      <c r="BO27" s="43" t="s">
        <v>15</v>
      </c>
      <c r="BP27" s="44" t="s">
        <v>15</v>
      </c>
      <c r="BQ27" s="29"/>
      <c r="BR27" s="29"/>
      <c r="BS27" s="29" t="s">
        <v>16</v>
      </c>
      <c r="BT27" s="29"/>
      <c r="BU27" s="29"/>
      <c r="BV27" s="29" t="s">
        <v>15</v>
      </c>
      <c r="BW27" s="83" t="s">
        <v>15</v>
      </c>
      <c r="BX27" s="22">
        <f t="shared" si="6"/>
        <v>0.8235294118</v>
      </c>
    </row>
    <row r="28">
      <c r="A28" s="24">
        <v>24.0</v>
      </c>
      <c r="B28" s="91"/>
      <c r="C28" s="63"/>
      <c r="D28" s="27" t="s">
        <v>15</v>
      </c>
      <c r="E28" s="28" t="s">
        <v>15</v>
      </c>
      <c r="F28" s="27" t="s">
        <v>15</v>
      </c>
      <c r="G28" s="27" t="s">
        <v>15</v>
      </c>
      <c r="H28" s="78" t="s">
        <v>16</v>
      </c>
      <c r="I28" s="78" t="s">
        <v>16</v>
      </c>
      <c r="J28" s="27" t="s">
        <v>15</v>
      </c>
      <c r="K28" s="27" t="s">
        <v>15</v>
      </c>
      <c r="L28" s="29" t="s">
        <v>15</v>
      </c>
      <c r="M28" s="29" t="s">
        <v>15</v>
      </c>
      <c r="N28" s="29" t="s">
        <v>16</v>
      </c>
      <c r="O28" s="29" t="s">
        <v>16</v>
      </c>
      <c r="P28" s="29" t="s">
        <v>15</v>
      </c>
      <c r="Q28" s="108" t="s">
        <v>15</v>
      </c>
      <c r="R28" s="108" t="s">
        <v>15</v>
      </c>
      <c r="S28" s="108" t="s">
        <v>15</v>
      </c>
      <c r="T28" s="108" t="s">
        <v>15</v>
      </c>
      <c r="U28" s="108" t="s">
        <v>15</v>
      </c>
      <c r="V28" s="108" t="s">
        <v>15</v>
      </c>
      <c r="W28" s="108" t="s">
        <v>16</v>
      </c>
      <c r="X28" s="34">
        <f t="shared" si="1"/>
        <v>0.75</v>
      </c>
      <c r="Y28" s="29" t="s">
        <v>15</v>
      </c>
      <c r="Z28" s="29" t="s">
        <v>15</v>
      </c>
      <c r="AA28" s="29" t="s">
        <v>16</v>
      </c>
      <c r="AB28" s="29" t="s">
        <v>15</v>
      </c>
      <c r="AC28" s="84" t="s">
        <v>16</v>
      </c>
      <c r="AD28" s="29" t="s">
        <v>15</v>
      </c>
      <c r="AE28" s="29" t="s">
        <v>16</v>
      </c>
      <c r="AF28" s="29" t="s">
        <v>15</v>
      </c>
      <c r="AG28" s="29" t="s">
        <v>16</v>
      </c>
      <c r="AH28" s="29" t="s">
        <v>16</v>
      </c>
      <c r="AI28" s="29" t="s">
        <v>16</v>
      </c>
      <c r="AJ28" s="29" t="s">
        <v>16</v>
      </c>
      <c r="AK28" s="29" t="s">
        <v>16</v>
      </c>
      <c r="AL28" s="29" t="s">
        <v>15</v>
      </c>
      <c r="AM28" s="39" t="s">
        <v>15</v>
      </c>
      <c r="AN28" s="29" t="s">
        <v>16</v>
      </c>
      <c r="AO28" s="39" t="s">
        <v>15</v>
      </c>
      <c r="AP28" s="29" t="s">
        <v>16</v>
      </c>
      <c r="AQ28" s="29" t="s">
        <v>15</v>
      </c>
      <c r="AR28" s="29" t="s">
        <v>16</v>
      </c>
      <c r="AS28" s="34">
        <f t="shared" si="2"/>
        <v>0.45</v>
      </c>
      <c r="AT28" s="29" t="s">
        <v>15</v>
      </c>
      <c r="AU28" s="29" t="s">
        <v>15</v>
      </c>
      <c r="AV28" s="29" t="s">
        <v>15</v>
      </c>
      <c r="AW28" s="29" t="s">
        <v>16</v>
      </c>
      <c r="AX28" s="29" t="s">
        <v>16</v>
      </c>
      <c r="AY28" s="29" t="s">
        <v>16</v>
      </c>
      <c r="AZ28" s="29" t="s">
        <v>16</v>
      </c>
      <c r="BA28" s="34">
        <f t="shared" si="5"/>
        <v>0.4285714286</v>
      </c>
      <c r="BB28" s="29" t="s">
        <v>16</v>
      </c>
      <c r="BC28" s="29" t="s">
        <v>15</v>
      </c>
      <c r="BD28" s="29" t="s">
        <v>16</v>
      </c>
      <c r="BE28" s="29" t="s">
        <v>16</v>
      </c>
      <c r="BF28" s="29"/>
      <c r="BG28" s="90" t="s">
        <v>16</v>
      </c>
      <c r="BH28" s="90" t="s">
        <v>16</v>
      </c>
      <c r="BI28" s="90" t="s">
        <v>16</v>
      </c>
      <c r="BJ28" s="90" t="s">
        <v>16</v>
      </c>
      <c r="BK28" s="90" t="s">
        <v>16</v>
      </c>
      <c r="BL28" s="90" t="s">
        <v>16</v>
      </c>
      <c r="BM28" s="29" t="s">
        <v>15</v>
      </c>
      <c r="BN28" s="51" t="s">
        <v>16</v>
      </c>
      <c r="BO28" s="51" t="s">
        <v>16</v>
      </c>
      <c r="BP28" s="52" t="s">
        <v>16</v>
      </c>
      <c r="BQ28" s="53"/>
      <c r="BR28" s="53"/>
      <c r="BS28" s="29" t="s">
        <v>16</v>
      </c>
      <c r="BT28" s="53"/>
      <c r="BU28" s="53"/>
      <c r="BV28" s="29" t="s">
        <v>16</v>
      </c>
      <c r="BW28" s="67" t="s">
        <v>16</v>
      </c>
      <c r="BX28" s="22">
        <f t="shared" si="6"/>
        <v>0.1176470588</v>
      </c>
    </row>
    <row r="29">
      <c r="A29" s="24">
        <v>25.0</v>
      </c>
      <c r="B29" s="81"/>
      <c r="C29" s="113"/>
      <c r="D29" s="27" t="s">
        <v>15</v>
      </c>
      <c r="E29" s="28" t="s">
        <v>16</v>
      </c>
      <c r="F29" s="47" t="s">
        <v>16</v>
      </c>
      <c r="G29" s="27" t="s">
        <v>15</v>
      </c>
      <c r="H29" s="27" t="s">
        <v>15</v>
      </c>
      <c r="I29" s="27" t="s">
        <v>15</v>
      </c>
      <c r="J29" s="27" t="s">
        <v>15</v>
      </c>
      <c r="K29" s="27" t="s">
        <v>15</v>
      </c>
      <c r="L29" s="29" t="s">
        <v>15</v>
      </c>
      <c r="M29" s="29" t="s">
        <v>15</v>
      </c>
      <c r="N29" s="29" t="s">
        <v>15</v>
      </c>
      <c r="O29" s="29" t="s">
        <v>15</v>
      </c>
      <c r="P29" s="29" t="s">
        <v>15</v>
      </c>
      <c r="Q29" s="108" t="s">
        <v>16</v>
      </c>
      <c r="R29" s="108" t="s">
        <v>15</v>
      </c>
      <c r="S29" s="108" t="s">
        <v>15</v>
      </c>
      <c r="T29" s="108" t="s">
        <v>15</v>
      </c>
      <c r="U29" s="108" t="s">
        <v>15</v>
      </c>
      <c r="V29" s="108" t="s">
        <v>15</v>
      </c>
      <c r="W29" s="108" t="s">
        <v>16</v>
      </c>
      <c r="X29" s="34">
        <f t="shared" si="1"/>
        <v>0.8</v>
      </c>
      <c r="Y29" s="29" t="s">
        <v>15</v>
      </c>
      <c r="Z29" s="29" t="s">
        <v>15</v>
      </c>
      <c r="AA29" s="29" t="s">
        <v>15</v>
      </c>
      <c r="AB29" s="29" t="s">
        <v>15</v>
      </c>
      <c r="AC29" s="36" t="s">
        <v>15</v>
      </c>
      <c r="AD29" s="29" t="s">
        <v>15</v>
      </c>
      <c r="AE29" s="29" t="s">
        <v>15</v>
      </c>
      <c r="AF29" s="29" t="s">
        <v>15</v>
      </c>
      <c r="AG29" s="29" t="s">
        <v>16</v>
      </c>
      <c r="AH29" s="29" t="s">
        <v>15</v>
      </c>
      <c r="AI29" s="29" t="s">
        <v>15</v>
      </c>
      <c r="AJ29" s="29" t="s">
        <v>15</v>
      </c>
      <c r="AK29" s="29" t="s">
        <v>16</v>
      </c>
      <c r="AL29" s="29" t="s">
        <v>15</v>
      </c>
      <c r="AM29" s="39" t="s">
        <v>15</v>
      </c>
      <c r="AN29" s="29" t="s">
        <v>16</v>
      </c>
      <c r="AO29" s="39" t="s">
        <v>15</v>
      </c>
      <c r="AP29" s="29" t="s">
        <v>15</v>
      </c>
      <c r="AQ29" s="29" t="s">
        <v>15</v>
      </c>
      <c r="AR29" s="29" t="s">
        <v>15</v>
      </c>
      <c r="AS29" s="34">
        <f t="shared" si="2"/>
        <v>0.85</v>
      </c>
      <c r="AT29" s="29" t="s">
        <v>15</v>
      </c>
      <c r="AU29" s="29" t="s">
        <v>15</v>
      </c>
      <c r="AV29" s="29" t="s">
        <v>15</v>
      </c>
      <c r="AW29" s="29" t="s">
        <v>15</v>
      </c>
      <c r="AX29" s="29" t="s">
        <v>15</v>
      </c>
      <c r="AY29" s="29" t="s">
        <v>15</v>
      </c>
      <c r="AZ29" s="29" t="s">
        <v>15</v>
      </c>
      <c r="BA29" s="34">
        <f t="shared" si="5"/>
        <v>1</v>
      </c>
      <c r="BB29" s="29" t="s">
        <v>15</v>
      </c>
      <c r="BC29" s="29" t="s">
        <v>15</v>
      </c>
      <c r="BD29" s="29" t="s">
        <v>15</v>
      </c>
      <c r="BE29" s="29" t="s">
        <v>15</v>
      </c>
      <c r="BF29" s="29"/>
      <c r="BG29" s="90" t="s">
        <v>16</v>
      </c>
      <c r="BH29" s="90" t="s">
        <v>15</v>
      </c>
      <c r="BI29" s="90" t="s">
        <v>15</v>
      </c>
      <c r="BJ29" s="90" t="s">
        <v>15</v>
      </c>
      <c r="BK29" s="90" t="s">
        <v>16</v>
      </c>
      <c r="BL29" s="90" t="s">
        <v>15</v>
      </c>
      <c r="BM29" s="29" t="s">
        <v>15</v>
      </c>
      <c r="BN29" s="65" t="s">
        <v>15</v>
      </c>
      <c r="BO29" s="43" t="s">
        <v>15</v>
      </c>
      <c r="BP29" s="44" t="s">
        <v>15</v>
      </c>
      <c r="BQ29" s="53"/>
      <c r="BR29" s="53"/>
      <c r="BS29" s="29" t="s">
        <v>15</v>
      </c>
      <c r="BT29" s="53"/>
      <c r="BU29" s="53"/>
      <c r="BV29" s="29" t="s">
        <v>15</v>
      </c>
      <c r="BW29" s="54" t="s">
        <v>15</v>
      </c>
      <c r="BX29" s="22">
        <f t="shared" si="6"/>
        <v>0.8823529412</v>
      </c>
    </row>
    <row r="30">
      <c r="A30" s="16">
        <v>26.0</v>
      </c>
      <c r="B30" s="25"/>
      <c r="C30" s="63"/>
      <c r="D30" s="27" t="s">
        <v>15</v>
      </c>
      <c r="E30" s="28" t="s">
        <v>16</v>
      </c>
      <c r="F30" s="47" t="s">
        <v>16</v>
      </c>
      <c r="G30" s="47" t="s">
        <v>16</v>
      </c>
      <c r="H30" s="78" t="s">
        <v>16</v>
      </c>
      <c r="I30" s="27" t="s">
        <v>15</v>
      </c>
      <c r="J30" s="27" t="s">
        <v>15</v>
      </c>
      <c r="K30" s="27" t="s">
        <v>15</v>
      </c>
      <c r="L30" s="29" t="s">
        <v>15</v>
      </c>
      <c r="M30" s="29" t="s">
        <v>15</v>
      </c>
      <c r="N30" s="29" t="s">
        <v>15</v>
      </c>
      <c r="O30" s="29" t="s">
        <v>15</v>
      </c>
      <c r="P30" s="29" t="s">
        <v>15</v>
      </c>
      <c r="Q30" s="108" t="s">
        <v>15</v>
      </c>
      <c r="R30" s="108" t="s">
        <v>15</v>
      </c>
      <c r="S30" s="108" t="s">
        <v>15</v>
      </c>
      <c r="T30" s="108" t="s">
        <v>15</v>
      </c>
      <c r="U30" s="108" t="s">
        <v>15</v>
      </c>
      <c r="V30" s="108" t="s">
        <v>15</v>
      </c>
      <c r="W30" s="108" t="s">
        <v>15</v>
      </c>
      <c r="X30" s="34">
        <f t="shared" si="1"/>
        <v>0.8</v>
      </c>
      <c r="Y30" s="29" t="s">
        <v>15</v>
      </c>
      <c r="Z30" s="29" t="s">
        <v>16</v>
      </c>
      <c r="AA30" s="29" t="s">
        <v>16</v>
      </c>
      <c r="AB30" s="29" t="s">
        <v>15</v>
      </c>
      <c r="AC30" s="36" t="s">
        <v>15</v>
      </c>
      <c r="AD30" s="29" t="s">
        <v>15</v>
      </c>
      <c r="AE30" s="29" t="s">
        <v>16</v>
      </c>
      <c r="AF30" s="29" t="s">
        <v>16</v>
      </c>
      <c r="AG30" s="29" t="s">
        <v>16</v>
      </c>
      <c r="AH30" s="29" t="s">
        <v>15</v>
      </c>
      <c r="AI30" s="29" t="s">
        <v>15</v>
      </c>
      <c r="AJ30" s="29" t="s">
        <v>15</v>
      </c>
      <c r="AK30" s="29" t="s">
        <v>16</v>
      </c>
      <c r="AL30" s="29" t="s">
        <v>15</v>
      </c>
      <c r="AM30" s="39" t="s">
        <v>15</v>
      </c>
      <c r="AN30" s="29" t="s">
        <v>16</v>
      </c>
      <c r="AO30" s="39" t="s">
        <v>15</v>
      </c>
      <c r="AP30" s="29" t="s">
        <v>16</v>
      </c>
      <c r="AQ30" s="29" t="s">
        <v>16</v>
      </c>
      <c r="AR30" s="29" t="s">
        <v>16</v>
      </c>
      <c r="AS30" s="34">
        <f t="shared" si="2"/>
        <v>0.5</v>
      </c>
      <c r="AT30" s="29" t="s">
        <v>15</v>
      </c>
      <c r="AU30" s="29" t="s">
        <v>15</v>
      </c>
      <c r="AV30" s="29" t="s">
        <v>15</v>
      </c>
      <c r="AW30" s="29" t="s">
        <v>15</v>
      </c>
      <c r="AX30" s="29" t="s">
        <v>15</v>
      </c>
      <c r="AY30" s="29" t="s">
        <v>15</v>
      </c>
      <c r="AZ30" s="29" t="s">
        <v>15</v>
      </c>
      <c r="BA30" s="34">
        <f t="shared" si="5"/>
        <v>1</v>
      </c>
      <c r="BB30" s="29" t="s">
        <v>15</v>
      </c>
      <c r="BC30" s="29" t="s">
        <v>15</v>
      </c>
      <c r="BD30" s="29" t="s">
        <v>16</v>
      </c>
      <c r="BE30" s="29" t="s">
        <v>15</v>
      </c>
      <c r="BF30" s="29"/>
      <c r="BG30" s="90" t="s">
        <v>16</v>
      </c>
      <c r="BH30" s="90" t="s">
        <v>15</v>
      </c>
      <c r="BI30" s="90" t="s">
        <v>15</v>
      </c>
      <c r="BJ30" s="90" t="s">
        <v>15</v>
      </c>
      <c r="BK30" s="90" t="s">
        <v>15</v>
      </c>
      <c r="BL30" s="90" t="s">
        <v>15</v>
      </c>
      <c r="BM30" s="29" t="s">
        <v>16</v>
      </c>
      <c r="BN30" s="65" t="s">
        <v>15</v>
      </c>
      <c r="BO30" s="43" t="s">
        <v>15</v>
      </c>
      <c r="BP30" s="44" t="s">
        <v>15</v>
      </c>
      <c r="BQ30" s="53"/>
      <c r="BR30" s="53"/>
      <c r="BS30" s="29" t="s">
        <v>16</v>
      </c>
      <c r="BT30" s="53"/>
      <c r="BU30" s="53"/>
      <c r="BV30" s="29" t="s">
        <v>16</v>
      </c>
      <c r="BW30" s="67" t="s">
        <v>16</v>
      </c>
      <c r="BX30" s="22">
        <f t="shared" si="6"/>
        <v>0.6470588235</v>
      </c>
    </row>
    <row r="31">
      <c r="A31" s="16">
        <v>27.0</v>
      </c>
      <c r="B31" s="118"/>
      <c r="C31" s="119">
        <v>46174.0</v>
      </c>
      <c r="D31" s="41" t="s">
        <v>20</v>
      </c>
      <c r="E31" s="41" t="s">
        <v>20</v>
      </c>
      <c r="F31" s="41" t="s">
        <v>20</v>
      </c>
      <c r="G31" s="41" t="s">
        <v>20</v>
      </c>
      <c r="H31" s="41" t="s">
        <v>20</v>
      </c>
      <c r="I31" s="41" t="s">
        <v>20</v>
      </c>
      <c r="J31" s="41" t="s">
        <v>20</v>
      </c>
      <c r="K31" s="41" t="s">
        <v>20</v>
      </c>
      <c r="L31" s="41" t="s">
        <v>20</v>
      </c>
      <c r="M31" s="41" t="s">
        <v>20</v>
      </c>
      <c r="N31" s="41" t="s">
        <v>20</v>
      </c>
      <c r="O31" s="41" t="s">
        <v>20</v>
      </c>
      <c r="P31" s="41" t="s">
        <v>20</v>
      </c>
      <c r="Q31" s="41" t="s">
        <v>20</v>
      </c>
      <c r="R31" s="41" t="s">
        <v>20</v>
      </c>
      <c r="S31" s="41" t="s">
        <v>20</v>
      </c>
      <c r="T31" s="41" t="s">
        <v>20</v>
      </c>
      <c r="U31" s="41" t="s">
        <v>20</v>
      </c>
      <c r="V31" s="41" t="s">
        <v>20</v>
      </c>
      <c r="W31" s="41" t="s">
        <v>20</v>
      </c>
      <c r="X31" s="34">
        <f>COUNTIF(E31:Q31,"P")/COUNT(E$4:Q$4)</f>
        <v>0</v>
      </c>
      <c r="Y31" s="41" t="s">
        <v>20</v>
      </c>
      <c r="Z31" s="29" t="s">
        <v>16</v>
      </c>
      <c r="AA31" s="29" t="s">
        <v>16</v>
      </c>
      <c r="AB31" s="29" t="s">
        <v>15</v>
      </c>
      <c r="AC31" s="120" t="s">
        <v>15</v>
      </c>
      <c r="AD31" s="29" t="s">
        <v>15</v>
      </c>
      <c r="AE31" s="29" t="s">
        <v>16</v>
      </c>
      <c r="AF31" s="29" t="s">
        <v>16</v>
      </c>
      <c r="AG31" s="29" t="s">
        <v>16</v>
      </c>
      <c r="AH31" s="29" t="s">
        <v>15</v>
      </c>
      <c r="AI31" s="29" t="s">
        <v>16</v>
      </c>
      <c r="AJ31" s="29" t="s">
        <v>15</v>
      </c>
      <c r="AK31" s="29" t="s">
        <v>15</v>
      </c>
      <c r="AL31" s="29" t="s">
        <v>15</v>
      </c>
      <c r="AM31" s="39" t="s">
        <v>15</v>
      </c>
      <c r="AN31" s="29" t="s">
        <v>16</v>
      </c>
      <c r="AO31" s="29" t="s">
        <v>16</v>
      </c>
      <c r="AP31" s="29" t="s">
        <v>16</v>
      </c>
      <c r="AQ31" s="29" t="s">
        <v>16</v>
      </c>
      <c r="AR31" s="29" t="s">
        <v>15</v>
      </c>
      <c r="AS31" s="34">
        <f t="shared" si="2"/>
        <v>0.4736842105</v>
      </c>
      <c r="AT31" s="29" t="s">
        <v>15</v>
      </c>
      <c r="AU31" s="29" t="s">
        <v>15</v>
      </c>
      <c r="AV31" s="29" t="s">
        <v>15</v>
      </c>
      <c r="AW31" s="29" t="s">
        <v>16</v>
      </c>
      <c r="AX31" s="29" t="s">
        <v>16</v>
      </c>
      <c r="AY31" s="29" t="s">
        <v>16</v>
      </c>
      <c r="AZ31" s="29" t="s">
        <v>16</v>
      </c>
      <c r="BA31" s="34">
        <f>COUNTIF(AT31:AZ31,"P")/COUNT(AT$4:AZ$4)</f>
        <v>0.4285714286</v>
      </c>
      <c r="BB31" s="29" t="s">
        <v>16</v>
      </c>
      <c r="BC31" s="29" t="s">
        <v>15</v>
      </c>
      <c r="BD31" s="29" t="s">
        <v>16</v>
      </c>
      <c r="BE31" s="29" t="s">
        <v>16</v>
      </c>
      <c r="BF31" s="53"/>
      <c r="BG31" s="90" t="s">
        <v>16</v>
      </c>
      <c r="BH31" s="90" t="s">
        <v>16</v>
      </c>
      <c r="BI31" s="90" t="s">
        <v>16</v>
      </c>
      <c r="BJ31" s="90" t="s">
        <v>16</v>
      </c>
      <c r="BK31" s="90" t="s">
        <v>15</v>
      </c>
      <c r="BL31" s="90" t="s">
        <v>15</v>
      </c>
      <c r="BM31" s="29" t="s">
        <v>15</v>
      </c>
      <c r="BN31" s="65" t="s">
        <v>15</v>
      </c>
      <c r="BO31" s="43" t="s">
        <v>15</v>
      </c>
      <c r="BP31" s="44" t="s">
        <v>15</v>
      </c>
      <c r="BQ31" s="53"/>
      <c r="BR31" s="53"/>
      <c r="BS31" s="29" t="s">
        <v>16</v>
      </c>
      <c r="BT31" s="53"/>
      <c r="BU31" s="53"/>
      <c r="BV31" s="29" t="s">
        <v>16</v>
      </c>
      <c r="BW31" s="67" t="s">
        <v>16</v>
      </c>
      <c r="BX31" s="22">
        <f>COUNTIF(BB31:BN31,"P")/COUNT(BB$4:BN$4)</f>
        <v>0.3846153846</v>
      </c>
    </row>
    <row r="32">
      <c r="A32" s="6"/>
      <c r="E32" s="96" t="s">
        <v>28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95"/>
      <c r="BW32" s="54" t="s">
        <v>15</v>
      </c>
    </row>
    <row r="33">
      <c r="A33" s="6"/>
      <c r="E33" s="117" t="s">
        <v>37</v>
      </c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101"/>
      <c r="BW33" s="54" t="s">
        <v>15</v>
      </c>
    </row>
    <row r="34">
      <c r="A34" s="6"/>
      <c r="E34" s="117" t="s">
        <v>38</v>
      </c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101"/>
    </row>
    <row r="35">
      <c r="A35" s="6"/>
      <c r="E35" s="117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101"/>
    </row>
    <row r="36">
      <c r="A36" s="6"/>
      <c r="E36" s="117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101"/>
    </row>
    <row r="37">
      <c r="A37" s="6"/>
      <c r="E37" s="97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101"/>
    </row>
    <row r="38">
      <c r="A38" s="6"/>
      <c r="E38" s="97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101"/>
    </row>
    <row r="39">
      <c r="A39" s="6"/>
      <c r="E39" s="97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101"/>
    </row>
    <row r="40">
      <c r="A40" s="6"/>
      <c r="E40" s="97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101"/>
    </row>
    <row r="41">
      <c r="A41" s="6"/>
      <c r="E41" s="97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101"/>
    </row>
    <row r="42">
      <c r="A42" s="6"/>
      <c r="E42" s="97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101"/>
    </row>
    <row r="43">
      <c r="E43" s="97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101"/>
    </row>
  </sheetData>
  <mergeCells count="19">
    <mergeCell ref="D1:W3"/>
    <mergeCell ref="AT1:AZ3"/>
    <mergeCell ref="BB1:BW3"/>
    <mergeCell ref="X2:X3"/>
    <mergeCell ref="AS2:AS3"/>
    <mergeCell ref="BA2:BA3"/>
    <mergeCell ref="BX2:BX3"/>
    <mergeCell ref="E39:AS39"/>
    <mergeCell ref="E40:AS40"/>
    <mergeCell ref="E41:AS41"/>
    <mergeCell ref="E42:AS42"/>
    <mergeCell ref="E43:AS43"/>
    <mergeCell ref="Y1:AR3"/>
    <mergeCell ref="E33:AS33"/>
    <mergeCell ref="E34:AS34"/>
    <mergeCell ref="E35:AS35"/>
    <mergeCell ref="E36:AS36"/>
    <mergeCell ref="E37:AS37"/>
    <mergeCell ref="E38:AS38"/>
  </mergeCells>
  <conditionalFormatting sqref="AD15 AH15 AL15:AL16 AJ16:AJ17 AN16 AP16 AR16">
    <cfRule type="notContainsBlanks" dxfId="5" priority="1">
      <formula>LEN(TRIM(AD15))&gt;0</formula>
    </cfRule>
  </conditionalFormatting>
  <conditionalFormatting sqref="AL4:AL34 D5:D31 E5:J34 K5:K31 L5:AE34 AF5:AF31 AG5:AK34 AM5:BE34 BF5:BW31 BX21">
    <cfRule type="cellIs" dxfId="3" priority="2" operator="equal">
      <formula>"P"</formula>
    </cfRule>
  </conditionalFormatting>
  <conditionalFormatting sqref="AL4:AL34 D5:D31 E5:J34 K5:K31 L5:AE34 AF5:AF31 AG5:AK34 AM5:BE34 BF5:BW31 BX21">
    <cfRule type="cellIs" dxfId="4" priority="3" operator="equal">
      <formula>"F"</formula>
    </cfRule>
  </conditionalFormatting>
  <dataValidations>
    <dataValidation type="list" allowBlank="1" showDropDown="1" sqref="AM5:AM7 AO5:AO7 AM9:AM12 AO9:AO12 AO14 AM16:AM19 AO16:AO19 AC5:AC22 AM21:AM22 AO21:AO22 BP5:BP23 AM24 AO24 AO27:AO30 AC24:AC31 AM26:AM31 BP25:BP31">
      <formula1>"-,P,F"</formula1>
    </dataValidation>
    <dataValidation type="custom" allowBlank="1" showDropDown="1" sqref="B7 C8 B15:B16 B28:B29">
      <formula1>OR(NOT(ISERROR(DATEVALUE(B7))), AND(ISNUMBER(B7), LEFT(CELL("format", B7))="D"))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7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4.0"/>
    <col customWidth="1" min="2" max="2" width="36.0"/>
    <col customWidth="1" min="4" max="23" width="2.63"/>
    <col customWidth="1" min="24" max="24" width="7.75"/>
    <col customWidth="1" min="25" max="44" width="2.63"/>
    <col customWidth="1" min="45" max="45" width="7.13"/>
    <col customWidth="1" min="46" max="52" width="2.63"/>
    <col customWidth="1" min="53" max="53" width="7.25"/>
    <col customWidth="1" min="54" max="75" width="2.63"/>
    <col customWidth="1" min="76" max="76" width="8.25"/>
    <col customWidth="1" min="77" max="94" width="2.63"/>
  </cols>
  <sheetData>
    <row r="1">
      <c r="A1" s="1" t="s">
        <v>0</v>
      </c>
      <c r="B1" s="1"/>
      <c r="C1" s="1"/>
      <c r="D1" s="2" t="s">
        <v>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 t="s">
        <v>2</v>
      </c>
      <c r="Y1" s="2" t="s">
        <v>7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4"/>
      <c r="AS1" s="5" t="s">
        <v>2</v>
      </c>
      <c r="AT1" s="2" t="s">
        <v>8</v>
      </c>
      <c r="AU1" s="3"/>
      <c r="AV1" s="3"/>
      <c r="AW1" s="3"/>
      <c r="AX1" s="3"/>
      <c r="AY1" s="3"/>
      <c r="AZ1" s="4"/>
      <c r="BA1" s="5" t="s">
        <v>2</v>
      </c>
      <c r="BB1" s="2" t="s">
        <v>9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4"/>
      <c r="BX1" s="5" t="s">
        <v>2</v>
      </c>
    </row>
    <row r="2">
      <c r="C2" s="6"/>
      <c r="D2" s="7"/>
      <c r="W2" s="8"/>
      <c r="X2" s="9">
        <f>COUNT(D4:Q4)</f>
        <v>14</v>
      </c>
      <c r="Y2" s="7"/>
      <c r="AR2" s="8"/>
      <c r="AS2" s="9">
        <f>COUNT(Y4:AR4)</f>
        <v>20</v>
      </c>
      <c r="AT2" s="7"/>
      <c r="AZ2" s="8"/>
      <c r="BA2" s="9">
        <f>COUNT(AT4:AZ4)</f>
        <v>7</v>
      </c>
      <c r="BB2" s="7"/>
      <c r="BW2" s="8"/>
      <c r="BX2" s="9">
        <f>COUNT(BB4:BQ4)</f>
        <v>16</v>
      </c>
    </row>
    <row r="3">
      <c r="C3" s="6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4"/>
      <c r="X3" s="15"/>
      <c r="Y3" s="12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4"/>
      <c r="AS3" s="15"/>
      <c r="AT3" s="12"/>
      <c r="AU3" s="13"/>
      <c r="AV3" s="13"/>
      <c r="AW3" s="13"/>
      <c r="AX3" s="13"/>
      <c r="AY3" s="13"/>
      <c r="AZ3" s="14"/>
      <c r="BA3" s="15"/>
      <c r="BB3" s="12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4"/>
      <c r="BX3" s="15"/>
    </row>
    <row r="4">
      <c r="A4" s="16" t="s">
        <v>10</v>
      </c>
      <c r="B4" s="17" t="s">
        <v>11</v>
      </c>
      <c r="C4" s="16" t="s">
        <v>14</v>
      </c>
      <c r="D4" s="18">
        <v>4.0</v>
      </c>
      <c r="E4" s="18">
        <v>5.0</v>
      </c>
      <c r="F4" s="18">
        <v>6.0</v>
      </c>
      <c r="G4" s="18">
        <v>7.0</v>
      </c>
      <c r="H4" s="18">
        <v>8.0</v>
      </c>
      <c r="I4" s="18">
        <v>11.0</v>
      </c>
      <c r="J4" s="18">
        <v>12.0</v>
      </c>
      <c r="K4" s="18">
        <v>13.0</v>
      </c>
      <c r="L4" s="18">
        <v>14.0</v>
      </c>
      <c r="M4" s="18">
        <v>15.0</v>
      </c>
      <c r="N4" s="18">
        <v>18.0</v>
      </c>
      <c r="O4" s="18">
        <v>19.0</v>
      </c>
      <c r="P4" s="18">
        <v>20.0</v>
      </c>
      <c r="Q4" s="18">
        <v>21.0</v>
      </c>
      <c r="R4" s="18">
        <v>22.0</v>
      </c>
      <c r="S4" s="18">
        <v>25.0</v>
      </c>
      <c r="T4" s="18">
        <v>26.0</v>
      </c>
      <c r="U4" s="18">
        <v>27.0</v>
      </c>
      <c r="V4" s="18">
        <v>28.0</v>
      </c>
      <c r="W4" s="18">
        <v>29.0</v>
      </c>
      <c r="X4" s="19" t="s">
        <v>13</v>
      </c>
      <c r="Y4" s="18">
        <v>1.0</v>
      </c>
      <c r="Z4" s="18">
        <v>2.0</v>
      </c>
      <c r="AA4" s="18">
        <v>3.0</v>
      </c>
      <c r="AB4" s="18">
        <v>8.0</v>
      </c>
      <c r="AC4" s="18">
        <v>9.0</v>
      </c>
      <c r="AD4" s="18">
        <v>10.0</v>
      </c>
      <c r="AE4" s="18">
        <v>11.0</v>
      </c>
      <c r="AF4" s="18">
        <v>12.0</v>
      </c>
      <c r="AG4" s="18">
        <v>15.0</v>
      </c>
      <c r="AH4" s="18">
        <v>16.0</v>
      </c>
      <c r="AI4" s="18">
        <v>17.0</v>
      </c>
      <c r="AJ4" s="18">
        <v>18.0</v>
      </c>
      <c r="AK4" s="18">
        <v>19.0</v>
      </c>
      <c r="AL4" s="18">
        <v>22.0</v>
      </c>
      <c r="AM4" s="18">
        <v>23.0</v>
      </c>
      <c r="AN4" s="18">
        <v>24.0</v>
      </c>
      <c r="AO4" s="18">
        <v>25.0</v>
      </c>
      <c r="AP4" s="18">
        <v>26.0</v>
      </c>
      <c r="AQ4" s="18">
        <v>29.0</v>
      </c>
      <c r="AR4" s="18">
        <v>30.0</v>
      </c>
      <c r="AS4" s="19" t="s">
        <v>13</v>
      </c>
      <c r="AT4" s="18">
        <v>1.0</v>
      </c>
      <c r="AU4" s="18">
        <v>2.0</v>
      </c>
      <c r="AV4" s="18">
        <v>3.0</v>
      </c>
      <c r="AW4" s="18">
        <v>28.0</v>
      </c>
      <c r="AX4" s="18">
        <v>29.0</v>
      </c>
      <c r="AY4" s="18">
        <v>30.0</v>
      </c>
      <c r="AZ4" s="18">
        <v>31.0</v>
      </c>
      <c r="BA4" s="19" t="s">
        <v>13</v>
      </c>
      <c r="BB4" s="18">
        <v>3.0</v>
      </c>
      <c r="BC4" s="18">
        <v>4.0</v>
      </c>
      <c r="BD4" s="18">
        <v>5.0</v>
      </c>
      <c r="BE4" s="18">
        <v>6.0</v>
      </c>
      <c r="BF4" s="18">
        <v>7.0</v>
      </c>
      <c r="BG4" s="18">
        <v>10.0</v>
      </c>
      <c r="BH4" s="18">
        <v>11.0</v>
      </c>
      <c r="BI4" s="18">
        <v>12.0</v>
      </c>
      <c r="BJ4" s="18">
        <v>13.0</v>
      </c>
      <c r="BK4" s="18">
        <v>14.0</v>
      </c>
      <c r="BL4" s="18">
        <v>17.0</v>
      </c>
      <c r="BM4" s="18">
        <v>18.0</v>
      </c>
      <c r="BN4" s="18">
        <v>19.0</v>
      </c>
      <c r="BO4" s="18">
        <v>20.0</v>
      </c>
      <c r="BP4" s="18">
        <v>21.0</v>
      </c>
      <c r="BQ4" s="18">
        <v>22.0</v>
      </c>
      <c r="BR4" s="18">
        <v>24.0</v>
      </c>
      <c r="BS4" s="18">
        <v>25.0</v>
      </c>
      <c r="BT4" s="18">
        <v>26.0</v>
      </c>
      <c r="BU4" s="18">
        <v>27.0</v>
      </c>
      <c r="BV4" s="18">
        <v>28.0</v>
      </c>
      <c r="BW4" s="18">
        <v>31.0</v>
      </c>
      <c r="BX4" s="19" t="s">
        <v>13</v>
      </c>
    </row>
    <row r="5">
      <c r="A5" s="24">
        <v>1.0</v>
      </c>
      <c r="B5" s="35"/>
      <c r="C5" s="37" t="s">
        <v>19</v>
      </c>
      <c r="D5" s="38" t="s">
        <v>20</v>
      </c>
      <c r="E5" s="38" t="s">
        <v>20</v>
      </c>
      <c r="F5" s="38" t="s">
        <v>20</v>
      </c>
      <c r="G5" s="38" t="s">
        <v>20</v>
      </c>
      <c r="H5" s="38" t="s">
        <v>20</v>
      </c>
      <c r="I5" s="38" t="s">
        <v>20</v>
      </c>
      <c r="J5" s="38" t="s">
        <v>20</v>
      </c>
      <c r="K5" s="38" t="s">
        <v>20</v>
      </c>
      <c r="L5" s="41" t="s">
        <v>20</v>
      </c>
      <c r="M5" s="38" t="s">
        <v>20</v>
      </c>
      <c r="N5" s="38" t="s">
        <v>20</v>
      </c>
      <c r="O5" s="38" t="s">
        <v>20</v>
      </c>
      <c r="P5" s="38" t="s">
        <v>20</v>
      </c>
      <c r="Q5" s="38" t="s">
        <v>20</v>
      </c>
      <c r="R5" s="38" t="s">
        <v>20</v>
      </c>
      <c r="S5" s="38" t="s">
        <v>20</v>
      </c>
      <c r="T5" s="38" t="s">
        <v>20</v>
      </c>
      <c r="U5" s="38" t="s">
        <v>20</v>
      </c>
      <c r="V5" s="38" t="s">
        <v>20</v>
      </c>
      <c r="W5" s="38" t="s">
        <v>20</v>
      </c>
      <c r="X5" s="40" t="str">
        <f t="shared" ref="X5:X32" si="1">IFERROR(COUNTIF(D5:W5,"P")/(COUNTIF(D5:W5,"P")+COUNTIF(D5:W5,"F")), "0,00%")</f>
        <v>0,00%</v>
      </c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40" t="str">
        <f t="shared" ref="AS5:AS32" si="2">IFERROR(COUNTIF(Y5:AR5,"P")/(COUNTIF(Y5:AR5,"P")+COUNTIF(Y5:AR5,"F")), "0,00%")</f>
        <v>0,00%</v>
      </c>
      <c r="AT5" s="38"/>
      <c r="AU5" s="38"/>
      <c r="AV5" s="38"/>
      <c r="AW5" s="38"/>
      <c r="AX5" s="38"/>
      <c r="AY5" s="38"/>
      <c r="AZ5" s="38"/>
      <c r="BA5" s="40" t="str">
        <f t="shared" ref="BA5:BA32" si="3">IFERROR(COUNTIF(AT5:AZ5,"P")/(COUNTIF(AT5:AZ5,"P")+COUNTIF(AT5:AZ5,"F")), "0,00%")</f>
        <v>0,00%</v>
      </c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48" t="str">
        <f t="shared" ref="BX5:BX32" si="4">IFERROR(COUNTIF(BB5:BW5,"P")/(COUNTIF(BB5:BW5,"P")+COUNTIF(BB5:BW5,"F")), "0,00%")</f>
        <v>0,00%</v>
      </c>
    </row>
    <row r="6">
      <c r="A6" s="24">
        <v>2.0</v>
      </c>
      <c r="B6" s="46"/>
      <c r="C6" s="26"/>
      <c r="D6" s="50" t="s">
        <v>15</v>
      </c>
      <c r="E6" s="50" t="s">
        <v>16</v>
      </c>
      <c r="F6" s="50" t="s">
        <v>15</v>
      </c>
      <c r="G6" s="29" t="s">
        <v>15</v>
      </c>
      <c r="H6" s="29" t="s">
        <v>16</v>
      </c>
      <c r="I6" s="29" t="s">
        <v>15</v>
      </c>
      <c r="J6" s="29" t="s">
        <v>15</v>
      </c>
      <c r="K6" s="29" t="s">
        <v>15</v>
      </c>
      <c r="L6" s="29" t="s">
        <v>15</v>
      </c>
      <c r="M6" s="29" t="s">
        <v>15</v>
      </c>
      <c r="N6" s="29" t="s">
        <v>15</v>
      </c>
      <c r="O6" s="29" t="s">
        <v>15</v>
      </c>
      <c r="P6" s="29" t="s">
        <v>15</v>
      </c>
      <c r="Q6" s="29" t="s">
        <v>15</v>
      </c>
      <c r="R6" s="29" t="s">
        <v>15</v>
      </c>
      <c r="S6" s="29" t="s">
        <v>15</v>
      </c>
      <c r="T6" s="29" t="s">
        <v>15</v>
      </c>
      <c r="U6" s="29" t="s">
        <v>15</v>
      </c>
      <c r="V6" s="29" t="s">
        <v>15</v>
      </c>
      <c r="W6" s="29" t="s">
        <v>15</v>
      </c>
      <c r="X6" s="34">
        <f t="shared" si="1"/>
        <v>0.9</v>
      </c>
      <c r="Y6" s="29" t="s">
        <v>15</v>
      </c>
      <c r="Z6" s="29" t="s">
        <v>15</v>
      </c>
      <c r="AA6" s="29" t="s">
        <v>16</v>
      </c>
      <c r="AB6" s="29" t="s">
        <v>15</v>
      </c>
      <c r="AC6" s="29" t="s">
        <v>15</v>
      </c>
      <c r="AD6" s="29" t="s">
        <v>15</v>
      </c>
      <c r="AE6" s="29" t="s">
        <v>15</v>
      </c>
      <c r="AF6" s="29" t="s">
        <v>15</v>
      </c>
      <c r="AG6" s="29" t="s">
        <v>15</v>
      </c>
      <c r="AH6" s="29" t="s">
        <v>16</v>
      </c>
      <c r="AI6" s="29" t="s">
        <v>16</v>
      </c>
      <c r="AJ6" s="29" t="s">
        <v>16</v>
      </c>
      <c r="AK6" s="29" t="s">
        <v>15</v>
      </c>
      <c r="AL6" s="29" t="s">
        <v>15</v>
      </c>
      <c r="AM6" s="29" t="s">
        <v>16</v>
      </c>
      <c r="AN6" s="29" t="s">
        <v>16</v>
      </c>
      <c r="AO6" s="29" t="s">
        <v>15</v>
      </c>
      <c r="AP6" s="29" t="s">
        <v>16</v>
      </c>
      <c r="AQ6" s="29" t="s">
        <v>16</v>
      </c>
      <c r="AR6" s="29" t="s">
        <v>16</v>
      </c>
      <c r="AS6" s="34">
        <f t="shared" si="2"/>
        <v>0.55</v>
      </c>
      <c r="AT6" s="29" t="s">
        <v>16</v>
      </c>
      <c r="AU6" s="29" t="s">
        <v>16</v>
      </c>
      <c r="AV6" s="29" t="s">
        <v>15</v>
      </c>
      <c r="AW6" s="29" t="s">
        <v>15</v>
      </c>
      <c r="AX6" s="29" t="s">
        <v>15</v>
      </c>
      <c r="AY6" s="29" t="s">
        <v>15</v>
      </c>
      <c r="AZ6" s="29" t="s">
        <v>16</v>
      </c>
      <c r="BA6" s="34">
        <f t="shared" si="3"/>
        <v>0.5714285714</v>
      </c>
      <c r="BB6" s="29" t="s">
        <v>15</v>
      </c>
      <c r="BC6" s="29" t="s">
        <v>15</v>
      </c>
      <c r="BD6" s="29" t="s">
        <v>15</v>
      </c>
      <c r="BE6" s="29" t="s">
        <v>15</v>
      </c>
      <c r="BF6" s="29" t="s">
        <v>15</v>
      </c>
      <c r="BG6" s="43" t="s">
        <v>15</v>
      </c>
      <c r="BH6" s="29" t="s">
        <v>15</v>
      </c>
      <c r="BI6" s="29" t="s">
        <v>15</v>
      </c>
      <c r="BJ6" s="29" t="s">
        <v>16</v>
      </c>
      <c r="BK6" s="29" t="s">
        <v>16</v>
      </c>
      <c r="BL6" s="60" t="s">
        <v>15</v>
      </c>
      <c r="BM6" s="29" t="s">
        <v>15</v>
      </c>
      <c r="BN6" s="60" t="s">
        <v>15</v>
      </c>
      <c r="BO6" s="29" t="s">
        <v>15</v>
      </c>
      <c r="BP6" s="29" t="s">
        <v>16</v>
      </c>
      <c r="BQ6" s="53"/>
      <c r="BR6" s="53"/>
      <c r="BS6" s="29" t="s">
        <v>15</v>
      </c>
      <c r="BT6" s="53"/>
      <c r="BU6" s="29" t="s">
        <v>16</v>
      </c>
      <c r="BV6" s="29" t="s">
        <v>15</v>
      </c>
      <c r="BW6" s="29" t="s">
        <v>16</v>
      </c>
      <c r="BX6" s="22">
        <f t="shared" si="4"/>
        <v>0.7368421053</v>
      </c>
    </row>
    <row r="7">
      <c r="A7" s="24">
        <v>3.0</v>
      </c>
      <c r="B7" s="62"/>
      <c r="C7" s="63"/>
      <c r="D7" s="64" t="s">
        <v>15</v>
      </c>
      <c r="E7" s="50" t="s">
        <v>16</v>
      </c>
      <c r="F7" s="29" t="s">
        <v>16</v>
      </c>
      <c r="G7" s="29" t="s">
        <v>15</v>
      </c>
      <c r="H7" s="29" t="s">
        <v>15</v>
      </c>
      <c r="I7" s="29" t="s">
        <v>15</v>
      </c>
      <c r="J7" s="29" t="s">
        <v>15</v>
      </c>
      <c r="K7" s="29" t="s">
        <v>15</v>
      </c>
      <c r="L7" s="29" t="s">
        <v>15</v>
      </c>
      <c r="M7" s="29" t="s">
        <v>16</v>
      </c>
      <c r="N7" s="29" t="s">
        <v>15</v>
      </c>
      <c r="O7" s="29" t="s">
        <v>15</v>
      </c>
      <c r="P7" s="29" t="s">
        <v>15</v>
      </c>
      <c r="Q7" s="29" t="s">
        <v>16</v>
      </c>
      <c r="R7" s="29" t="s">
        <v>16</v>
      </c>
      <c r="S7" s="29" t="s">
        <v>16</v>
      </c>
      <c r="T7" s="29" t="s">
        <v>16</v>
      </c>
      <c r="U7" s="29" t="s">
        <v>15</v>
      </c>
      <c r="V7" s="29" t="s">
        <v>15</v>
      </c>
      <c r="W7" s="29" t="s">
        <v>15</v>
      </c>
      <c r="X7" s="34">
        <f t="shared" si="1"/>
        <v>0.65</v>
      </c>
      <c r="Y7" s="29" t="s">
        <v>15</v>
      </c>
      <c r="Z7" s="29" t="s">
        <v>15</v>
      </c>
      <c r="AA7" s="29" t="s">
        <v>15</v>
      </c>
      <c r="AB7" s="29" t="s">
        <v>15</v>
      </c>
      <c r="AC7" s="29" t="s">
        <v>15</v>
      </c>
      <c r="AD7" s="29" t="s">
        <v>15</v>
      </c>
      <c r="AE7" s="29" t="s">
        <v>15</v>
      </c>
      <c r="AF7" s="29" t="s">
        <v>15</v>
      </c>
      <c r="AG7" s="29" t="s">
        <v>15</v>
      </c>
      <c r="AH7" s="29" t="s">
        <v>15</v>
      </c>
      <c r="AI7" s="29" t="s">
        <v>15</v>
      </c>
      <c r="AJ7" s="29" t="s">
        <v>15</v>
      </c>
      <c r="AK7" s="29" t="s">
        <v>16</v>
      </c>
      <c r="AL7" s="29" t="s">
        <v>15</v>
      </c>
      <c r="AM7" s="39" t="s">
        <v>15</v>
      </c>
      <c r="AN7" s="29" t="s">
        <v>15</v>
      </c>
      <c r="AO7" s="29" t="s">
        <v>15</v>
      </c>
      <c r="AP7" s="29" t="s">
        <v>15</v>
      </c>
      <c r="AQ7" s="29" t="s">
        <v>15</v>
      </c>
      <c r="AR7" s="29" t="s">
        <v>15</v>
      </c>
      <c r="AS7" s="34">
        <f t="shared" si="2"/>
        <v>0.95</v>
      </c>
      <c r="AT7" s="29" t="s">
        <v>16</v>
      </c>
      <c r="AU7" s="29" t="s">
        <v>15</v>
      </c>
      <c r="AV7" s="29" t="s">
        <v>15</v>
      </c>
      <c r="AW7" s="29" t="s">
        <v>15</v>
      </c>
      <c r="AX7" s="29" t="s">
        <v>15</v>
      </c>
      <c r="AY7" s="29" t="s">
        <v>15</v>
      </c>
      <c r="AZ7" s="29" t="s">
        <v>16</v>
      </c>
      <c r="BA7" s="34">
        <f t="shared" si="3"/>
        <v>0.7142857143</v>
      </c>
      <c r="BB7" s="29" t="s">
        <v>15</v>
      </c>
      <c r="BC7" s="29" t="s">
        <v>15</v>
      </c>
      <c r="BD7" s="29" t="s">
        <v>15</v>
      </c>
      <c r="BE7" s="29" t="s">
        <v>15</v>
      </c>
      <c r="BF7" s="29" t="s">
        <v>15</v>
      </c>
      <c r="BG7" s="71" t="s">
        <v>15</v>
      </c>
      <c r="BH7" s="29" t="s">
        <v>15</v>
      </c>
      <c r="BI7" s="29" t="s">
        <v>15</v>
      </c>
      <c r="BJ7" s="29" t="s">
        <v>16</v>
      </c>
      <c r="BK7" s="29" t="s">
        <v>15</v>
      </c>
      <c r="BL7" s="65" t="s">
        <v>15</v>
      </c>
      <c r="BM7" s="29" t="s">
        <v>15</v>
      </c>
      <c r="BN7" s="65" t="s">
        <v>15</v>
      </c>
      <c r="BO7" s="29" t="s">
        <v>15</v>
      </c>
      <c r="BP7" s="29" t="s">
        <v>15</v>
      </c>
      <c r="BQ7" s="53"/>
      <c r="BR7" s="53"/>
      <c r="BS7" s="29" t="s">
        <v>15</v>
      </c>
      <c r="BT7" s="53"/>
      <c r="BU7" s="29" t="s">
        <v>15</v>
      </c>
      <c r="BV7" s="29" t="s">
        <v>15</v>
      </c>
      <c r="BW7" s="29" t="s">
        <v>16</v>
      </c>
      <c r="BX7" s="22">
        <f t="shared" si="4"/>
        <v>0.8947368421</v>
      </c>
    </row>
    <row r="8">
      <c r="A8" s="24">
        <v>4.0</v>
      </c>
      <c r="B8" s="46"/>
      <c r="C8" s="26"/>
      <c r="D8" s="72" t="s">
        <v>15</v>
      </c>
      <c r="E8" s="50" t="s">
        <v>15</v>
      </c>
      <c r="F8" s="29" t="s">
        <v>15</v>
      </c>
      <c r="G8" s="29" t="s">
        <v>15</v>
      </c>
      <c r="H8" s="29" t="s">
        <v>15</v>
      </c>
      <c r="I8" s="29" t="s">
        <v>16</v>
      </c>
      <c r="J8" s="29" t="s">
        <v>15</v>
      </c>
      <c r="K8" s="29" t="s">
        <v>15</v>
      </c>
      <c r="L8" s="29" t="s">
        <v>15</v>
      </c>
      <c r="M8" s="29" t="s">
        <v>15</v>
      </c>
      <c r="N8" s="29" t="s">
        <v>15</v>
      </c>
      <c r="O8" s="29" t="s">
        <v>15</v>
      </c>
      <c r="P8" s="29" t="s">
        <v>15</v>
      </c>
      <c r="Q8" s="29" t="s">
        <v>16</v>
      </c>
      <c r="R8" s="29" t="s">
        <v>15</v>
      </c>
      <c r="S8" s="29" t="s">
        <v>15</v>
      </c>
      <c r="T8" s="29" t="s">
        <v>15</v>
      </c>
      <c r="U8" s="29" t="s">
        <v>15</v>
      </c>
      <c r="V8" s="29" t="s">
        <v>16</v>
      </c>
      <c r="W8" s="29" t="s">
        <v>15</v>
      </c>
      <c r="X8" s="34">
        <f t="shared" si="1"/>
        <v>0.85</v>
      </c>
      <c r="Y8" s="29" t="s">
        <v>15</v>
      </c>
      <c r="Z8" s="29" t="s">
        <v>16</v>
      </c>
      <c r="AA8" s="29" t="s">
        <v>15</v>
      </c>
      <c r="AB8" s="29" t="s">
        <v>15</v>
      </c>
      <c r="AC8" s="29" t="s">
        <v>15</v>
      </c>
      <c r="AD8" s="29" t="s">
        <v>15</v>
      </c>
      <c r="AE8" s="29" t="s">
        <v>15</v>
      </c>
      <c r="AF8" s="29" t="s">
        <v>15</v>
      </c>
      <c r="AG8" s="29" t="s">
        <v>15</v>
      </c>
      <c r="AH8" s="29" t="s">
        <v>15</v>
      </c>
      <c r="AI8" s="29" t="s">
        <v>15</v>
      </c>
      <c r="AJ8" s="29" t="s">
        <v>15</v>
      </c>
      <c r="AK8" s="29" t="s">
        <v>15</v>
      </c>
      <c r="AL8" s="29" t="s">
        <v>15</v>
      </c>
      <c r="AM8" s="29" t="s">
        <v>16</v>
      </c>
      <c r="AN8" s="29" t="s">
        <v>15</v>
      </c>
      <c r="AO8" s="29" t="s">
        <v>15</v>
      </c>
      <c r="AP8" s="29" t="s">
        <v>15</v>
      </c>
      <c r="AQ8" s="29" t="s">
        <v>16</v>
      </c>
      <c r="AR8" s="29" t="s">
        <v>15</v>
      </c>
      <c r="AS8" s="34">
        <f t="shared" si="2"/>
        <v>0.85</v>
      </c>
      <c r="AT8" s="29" t="s">
        <v>15</v>
      </c>
      <c r="AU8" s="29" t="s">
        <v>15</v>
      </c>
      <c r="AV8" s="29" t="s">
        <v>15</v>
      </c>
      <c r="AW8" s="29" t="s">
        <v>15</v>
      </c>
      <c r="AX8" s="29" t="s">
        <v>15</v>
      </c>
      <c r="AY8" s="29" t="s">
        <v>15</v>
      </c>
      <c r="AZ8" s="29" t="s">
        <v>15</v>
      </c>
      <c r="BA8" s="34">
        <f t="shared" si="3"/>
        <v>1</v>
      </c>
      <c r="BB8" s="29" t="s">
        <v>15</v>
      </c>
      <c r="BC8" s="29" t="s">
        <v>15</v>
      </c>
      <c r="BD8" s="29" t="s">
        <v>15</v>
      </c>
      <c r="BE8" s="29" t="s">
        <v>15</v>
      </c>
      <c r="BF8" s="29" t="s">
        <v>15</v>
      </c>
      <c r="BG8" s="71" t="s">
        <v>15</v>
      </c>
      <c r="BH8" s="29" t="s">
        <v>15</v>
      </c>
      <c r="BI8" s="29" t="s">
        <v>15</v>
      </c>
      <c r="BJ8" s="29" t="s">
        <v>16</v>
      </c>
      <c r="BK8" s="29" t="s">
        <v>15</v>
      </c>
      <c r="BL8" s="65" t="s">
        <v>15</v>
      </c>
      <c r="BM8" s="29" t="s">
        <v>15</v>
      </c>
      <c r="BN8" s="65" t="s">
        <v>15</v>
      </c>
      <c r="BO8" s="29" t="s">
        <v>15</v>
      </c>
      <c r="BP8" s="29" t="s">
        <v>15</v>
      </c>
      <c r="BQ8" s="53"/>
      <c r="BR8" s="53"/>
      <c r="BS8" s="29" t="s">
        <v>15</v>
      </c>
      <c r="BT8" s="53"/>
      <c r="BU8" s="29" t="s">
        <v>15</v>
      </c>
      <c r="BV8" s="29" t="s">
        <v>16</v>
      </c>
      <c r="BW8" s="29" t="s">
        <v>16</v>
      </c>
      <c r="BX8" s="22">
        <f t="shared" si="4"/>
        <v>0.8421052632</v>
      </c>
    </row>
    <row r="9">
      <c r="A9" s="24">
        <v>5.0</v>
      </c>
      <c r="B9" s="57"/>
      <c r="C9" s="58"/>
      <c r="D9" s="80" t="s">
        <v>15</v>
      </c>
      <c r="E9" s="50" t="s">
        <v>15</v>
      </c>
      <c r="F9" s="29" t="s">
        <v>15</v>
      </c>
      <c r="G9" s="29" t="s">
        <v>15</v>
      </c>
      <c r="H9" s="29" t="s">
        <v>15</v>
      </c>
      <c r="I9" s="29" t="s">
        <v>15</v>
      </c>
      <c r="J9" s="29" t="s">
        <v>15</v>
      </c>
      <c r="K9" s="29" t="s">
        <v>15</v>
      </c>
      <c r="L9" s="29" t="s">
        <v>15</v>
      </c>
      <c r="M9" s="29" t="s">
        <v>15</v>
      </c>
      <c r="N9" s="29" t="s">
        <v>15</v>
      </c>
      <c r="O9" s="29" t="s">
        <v>15</v>
      </c>
      <c r="P9" s="29" t="s">
        <v>15</v>
      </c>
      <c r="Q9" s="29" t="s">
        <v>16</v>
      </c>
      <c r="R9" s="29" t="s">
        <v>15</v>
      </c>
      <c r="S9" s="29" t="s">
        <v>15</v>
      </c>
      <c r="T9" s="29" t="s">
        <v>15</v>
      </c>
      <c r="U9" s="29" t="s">
        <v>15</v>
      </c>
      <c r="V9" s="29" t="s">
        <v>15</v>
      </c>
      <c r="W9" s="29" t="s">
        <v>15</v>
      </c>
      <c r="X9" s="34">
        <f t="shared" si="1"/>
        <v>0.95</v>
      </c>
      <c r="Y9" s="29" t="s">
        <v>15</v>
      </c>
      <c r="Z9" s="29" t="s">
        <v>15</v>
      </c>
      <c r="AA9" s="29" t="s">
        <v>15</v>
      </c>
      <c r="AB9" s="29" t="s">
        <v>15</v>
      </c>
      <c r="AC9" s="29" t="s">
        <v>15</v>
      </c>
      <c r="AD9" s="29" t="s">
        <v>15</v>
      </c>
      <c r="AE9" s="29" t="s">
        <v>15</v>
      </c>
      <c r="AF9" s="29" t="s">
        <v>15</v>
      </c>
      <c r="AG9" s="29" t="s">
        <v>15</v>
      </c>
      <c r="AH9" s="29" t="s">
        <v>15</v>
      </c>
      <c r="AI9" s="29" t="s">
        <v>16</v>
      </c>
      <c r="AJ9" s="29" t="s">
        <v>15</v>
      </c>
      <c r="AK9" s="29" t="s">
        <v>15</v>
      </c>
      <c r="AL9" s="29" t="s">
        <v>15</v>
      </c>
      <c r="AM9" s="39" t="s">
        <v>15</v>
      </c>
      <c r="AN9" s="29" t="s">
        <v>15</v>
      </c>
      <c r="AO9" s="29" t="s">
        <v>15</v>
      </c>
      <c r="AP9" s="29" t="s">
        <v>15</v>
      </c>
      <c r="AQ9" s="29" t="s">
        <v>15</v>
      </c>
      <c r="AR9" s="29" t="s">
        <v>15</v>
      </c>
      <c r="AS9" s="34">
        <f t="shared" si="2"/>
        <v>0.95</v>
      </c>
      <c r="AT9" s="29" t="s">
        <v>15</v>
      </c>
      <c r="AU9" s="29" t="s">
        <v>16</v>
      </c>
      <c r="AV9" s="29" t="s">
        <v>15</v>
      </c>
      <c r="AW9" s="29" t="s">
        <v>15</v>
      </c>
      <c r="AX9" s="29" t="s">
        <v>15</v>
      </c>
      <c r="AY9" s="29" t="s">
        <v>16</v>
      </c>
      <c r="AZ9" s="29" t="s">
        <v>15</v>
      </c>
      <c r="BA9" s="34">
        <f t="shared" si="3"/>
        <v>0.7142857143</v>
      </c>
      <c r="BB9" s="29" t="s">
        <v>16</v>
      </c>
      <c r="BC9" s="29" t="s">
        <v>15</v>
      </c>
      <c r="BD9" s="29" t="s">
        <v>15</v>
      </c>
      <c r="BE9" s="29" t="s">
        <v>15</v>
      </c>
      <c r="BF9" s="29" t="s">
        <v>15</v>
      </c>
      <c r="BG9" s="71" t="s">
        <v>15</v>
      </c>
      <c r="BH9" s="29" t="s">
        <v>15</v>
      </c>
      <c r="BI9" s="29" t="s">
        <v>16</v>
      </c>
      <c r="BJ9" s="29" t="s">
        <v>15</v>
      </c>
      <c r="BK9" s="29" t="s">
        <v>15</v>
      </c>
      <c r="BL9" s="65" t="s">
        <v>15</v>
      </c>
      <c r="BM9" s="29" t="s">
        <v>15</v>
      </c>
      <c r="BN9" s="65" t="s">
        <v>15</v>
      </c>
      <c r="BO9" s="29" t="s">
        <v>15</v>
      </c>
      <c r="BP9" s="29" t="s">
        <v>15</v>
      </c>
      <c r="BQ9" s="53"/>
      <c r="BR9" s="53"/>
      <c r="BS9" s="29" t="s">
        <v>15</v>
      </c>
      <c r="BT9" s="53"/>
      <c r="BU9" s="29" t="s">
        <v>16</v>
      </c>
      <c r="BV9" s="29" t="s">
        <v>16</v>
      </c>
      <c r="BW9" s="29" t="s">
        <v>15</v>
      </c>
      <c r="BX9" s="22">
        <f t="shared" si="4"/>
        <v>0.7894736842</v>
      </c>
    </row>
    <row r="10">
      <c r="A10" s="24">
        <v>6.0</v>
      </c>
      <c r="B10" s="46"/>
      <c r="C10" s="58"/>
      <c r="D10" s="80" t="s">
        <v>15</v>
      </c>
      <c r="E10" s="50" t="s">
        <v>15</v>
      </c>
      <c r="F10" s="29" t="s">
        <v>15</v>
      </c>
      <c r="G10" s="29" t="s">
        <v>16</v>
      </c>
      <c r="H10" s="29" t="s">
        <v>15</v>
      </c>
      <c r="I10" s="29" t="s">
        <v>15</v>
      </c>
      <c r="J10" s="29" t="s">
        <v>15</v>
      </c>
      <c r="K10" s="29" t="s">
        <v>15</v>
      </c>
      <c r="L10" s="29" t="s">
        <v>15</v>
      </c>
      <c r="M10" s="29" t="s">
        <v>15</v>
      </c>
      <c r="N10" s="29" t="s">
        <v>15</v>
      </c>
      <c r="O10" s="29" t="s">
        <v>15</v>
      </c>
      <c r="P10" s="29" t="s">
        <v>15</v>
      </c>
      <c r="Q10" s="29" t="s">
        <v>15</v>
      </c>
      <c r="R10" s="29" t="s">
        <v>15</v>
      </c>
      <c r="S10" s="29" t="s">
        <v>15</v>
      </c>
      <c r="T10" s="29" t="s">
        <v>15</v>
      </c>
      <c r="U10" s="29" t="s">
        <v>15</v>
      </c>
      <c r="V10" s="29" t="s">
        <v>16</v>
      </c>
      <c r="W10" s="29" t="s">
        <v>15</v>
      </c>
      <c r="X10" s="34">
        <f t="shared" si="1"/>
        <v>0.9</v>
      </c>
      <c r="Y10" s="29" t="s">
        <v>15</v>
      </c>
      <c r="Z10" s="29" t="s">
        <v>15</v>
      </c>
      <c r="AA10" s="29" t="s">
        <v>15</v>
      </c>
      <c r="AB10" s="29" t="s">
        <v>15</v>
      </c>
      <c r="AC10" s="29" t="s">
        <v>15</v>
      </c>
      <c r="AD10" s="29" t="s">
        <v>15</v>
      </c>
      <c r="AE10" s="29" t="s">
        <v>15</v>
      </c>
      <c r="AF10" s="29" t="s">
        <v>15</v>
      </c>
      <c r="AG10" s="29" t="s">
        <v>15</v>
      </c>
      <c r="AH10" s="29" t="s">
        <v>15</v>
      </c>
      <c r="AI10" s="29" t="s">
        <v>16</v>
      </c>
      <c r="AJ10" s="29" t="s">
        <v>15</v>
      </c>
      <c r="AK10" s="29" t="s">
        <v>15</v>
      </c>
      <c r="AL10" s="29" t="s">
        <v>15</v>
      </c>
      <c r="AM10" s="39" t="s">
        <v>15</v>
      </c>
      <c r="AN10" s="29" t="s">
        <v>15</v>
      </c>
      <c r="AO10" s="29" t="s">
        <v>15</v>
      </c>
      <c r="AP10" s="29" t="s">
        <v>15</v>
      </c>
      <c r="AQ10" s="29" t="s">
        <v>15</v>
      </c>
      <c r="AR10" s="29" t="s">
        <v>15</v>
      </c>
      <c r="AS10" s="34">
        <f t="shared" si="2"/>
        <v>0.95</v>
      </c>
      <c r="AT10" s="29" t="s">
        <v>15</v>
      </c>
      <c r="AU10" s="29" t="s">
        <v>15</v>
      </c>
      <c r="AV10" s="29" t="s">
        <v>15</v>
      </c>
      <c r="AW10" s="29" t="s">
        <v>15</v>
      </c>
      <c r="AX10" s="29" t="s">
        <v>16</v>
      </c>
      <c r="AY10" s="29" t="s">
        <v>15</v>
      </c>
      <c r="AZ10" s="29" t="s">
        <v>15</v>
      </c>
      <c r="BA10" s="34">
        <f t="shared" si="3"/>
        <v>0.8571428571</v>
      </c>
      <c r="BB10" s="29" t="s">
        <v>15</v>
      </c>
      <c r="BC10" s="29" t="s">
        <v>15</v>
      </c>
      <c r="BD10" s="29" t="s">
        <v>15</v>
      </c>
      <c r="BE10" s="29" t="s">
        <v>15</v>
      </c>
      <c r="BF10" s="29" t="s">
        <v>15</v>
      </c>
      <c r="BG10" s="71" t="s">
        <v>15</v>
      </c>
      <c r="BH10" s="29" t="s">
        <v>15</v>
      </c>
      <c r="BI10" s="29" t="s">
        <v>15</v>
      </c>
      <c r="BJ10" s="29" t="s">
        <v>15</v>
      </c>
      <c r="BK10" s="29" t="s">
        <v>15</v>
      </c>
      <c r="BL10" s="65" t="s">
        <v>15</v>
      </c>
      <c r="BM10" s="29" t="s">
        <v>15</v>
      </c>
      <c r="BN10" s="65" t="s">
        <v>15</v>
      </c>
      <c r="BO10" s="29" t="s">
        <v>15</v>
      </c>
      <c r="BP10" s="29" t="s">
        <v>15</v>
      </c>
      <c r="BQ10" s="53"/>
      <c r="BR10" s="53"/>
      <c r="BS10" s="29" t="s">
        <v>16</v>
      </c>
      <c r="BT10" s="53"/>
      <c r="BU10" s="29" t="s">
        <v>15</v>
      </c>
      <c r="BV10" s="29" t="s">
        <v>15</v>
      </c>
      <c r="BW10" s="29" t="s">
        <v>15</v>
      </c>
      <c r="BX10" s="22">
        <f t="shared" si="4"/>
        <v>0.9473684211</v>
      </c>
    </row>
    <row r="11">
      <c r="A11" s="24">
        <v>7.0</v>
      </c>
      <c r="B11" s="82"/>
      <c r="C11" s="69" t="s">
        <v>22</v>
      </c>
      <c r="D11" s="80" t="s">
        <v>15</v>
      </c>
      <c r="E11" s="50" t="s">
        <v>16</v>
      </c>
      <c r="F11" s="29" t="s">
        <v>15</v>
      </c>
      <c r="G11" s="29" t="s">
        <v>15</v>
      </c>
      <c r="H11" s="29" t="s">
        <v>15</v>
      </c>
      <c r="I11" s="29" t="s">
        <v>16</v>
      </c>
      <c r="J11" s="29" t="s">
        <v>15</v>
      </c>
      <c r="K11" s="29" t="s">
        <v>15</v>
      </c>
      <c r="L11" s="29" t="s">
        <v>15</v>
      </c>
      <c r="M11" s="29" t="s">
        <v>16</v>
      </c>
      <c r="N11" s="29" t="s">
        <v>15</v>
      </c>
      <c r="O11" s="29" t="s">
        <v>15</v>
      </c>
      <c r="P11" s="29" t="s">
        <v>15</v>
      </c>
      <c r="Q11" s="29" t="s">
        <v>16</v>
      </c>
      <c r="R11" s="29" t="s">
        <v>15</v>
      </c>
      <c r="S11" s="29" t="s">
        <v>16</v>
      </c>
      <c r="T11" s="29" t="s">
        <v>15</v>
      </c>
      <c r="U11" s="29" t="s">
        <v>16</v>
      </c>
      <c r="V11" s="29" t="s">
        <v>15</v>
      </c>
      <c r="W11" s="29" t="s">
        <v>15</v>
      </c>
      <c r="X11" s="34">
        <f t="shared" si="1"/>
        <v>0.7</v>
      </c>
      <c r="Y11" s="38" t="s">
        <v>20</v>
      </c>
      <c r="Z11" s="38" t="s">
        <v>20</v>
      </c>
      <c r="AA11" s="38" t="s">
        <v>20</v>
      </c>
      <c r="AB11" s="38" t="s">
        <v>20</v>
      </c>
      <c r="AC11" s="38" t="s">
        <v>20</v>
      </c>
      <c r="AD11" s="38" t="s">
        <v>20</v>
      </c>
      <c r="AE11" s="38" t="s">
        <v>20</v>
      </c>
      <c r="AF11" s="38" t="s">
        <v>20</v>
      </c>
      <c r="AG11" s="38" t="s">
        <v>20</v>
      </c>
      <c r="AH11" s="38" t="s">
        <v>20</v>
      </c>
      <c r="AI11" s="38" t="s">
        <v>20</v>
      </c>
      <c r="AJ11" s="38" t="s">
        <v>20</v>
      </c>
      <c r="AK11" s="38" t="s">
        <v>20</v>
      </c>
      <c r="AL11" s="38" t="s">
        <v>20</v>
      </c>
      <c r="AM11" s="38" t="s">
        <v>20</v>
      </c>
      <c r="AN11" s="38" t="s">
        <v>20</v>
      </c>
      <c r="AO11" s="38" t="s">
        <v>20</v>
      </c>
      <c r="AP11" s="38" t="s">
        <v>20</v>
      </c>
      <c r="AQ11" s="38" t="s">
        <v>20</v>
      </c>
      <c r="AR11" s="38" t="s">
        <v>20</v>
      </c>
      <c r="AS11" s="34" t="str">
        <f t="shared" si="2"/>
        <v>0,00%</v>
      </c>
      <c r="AT11" s="38" t="s">
        <v>20</v>
      </c>
      <c r="AU11" s="38" t="s">
        <v>20</v>
      </c>
      <c r="AV11" s="38" t="s">
        <v>20</v>
      </c>
      <c r="AW11" s="38" t="s">
        <v>20</v>
      </c>
      <c r="AX11" s="38" t="s">
        <v>20</v>
      </c>
      <c r="AY11" s="38" t="s">
        <v>20</v>
      </c>
      <c r="AZ11" s="38" t="s">
        <v>20</v>
      </c>
      <c r="BA11" s="34" t="str">
        <f t="shared" si="3"/>
        <v>0,00%</v>
      </c>
      <c r="BB11" s="38" t="s">
        <v>20</v>
      </c>
      <c r="BC11" s="38" t="s">
        <v>20</v>
      </c>
      <c r="BD11" s="38" t="s">
        <v>20</v>
      </c>
      <c r="BE11" s="38" t="s">
        <v>20</v>
      </c>
      <c r="BF11" s="38" t="s">
        <v>20</v>
      </c>
      <c r="BG11" s="74" t="s">
        <v>18</v>
      </c>
      <c r="BH11" s="38" t="s">
        <v>20</v>
      </c>
      <c r="BI11" s="38" t="s">
        <v>20</v>
      </c>
      <c r="BJ11" s="38" t="s">
        <v>20</v>
      </c>
      <c r="BK11" s="38" t="s">
        <v>20</v>
      </c>
      <c r="BL11" s="74" t="s">
        <v>18</v>
      </c>
      <c r="BM11" s="38" t="s">
        <v>20</v>
      </c>
      <c r="BN11" s="74" t="s">
        <v>18</v>
      </c>
      <c r="BO11" s="38" t="s">
        <v>20</v>
      </c>
      <c r="BP11" s="38" t="s">
        <v>20</v>
      </c>
      <c r="BQ11" s="38" t="s">
        <v>20</v>
      </c>
      <c r="BR11" s="38" t="s">
        <v>20</v>
      </c>
      <c r="BS11" s="38" t="s">
        <v>20</v>
      </c>
      <c r="BT11" s="38" t="s">
        <v>20</v>
      </c>
      <c r="BU11" s="38" t="s">
        <v>20</v>
      </c>
      <c r="BV11" s="38" t="s">
        <v>20</v>
      </c>
      <c r="BW11" s="38" t="s">
        <v>20</v>
      </c>
      <c r="BX11" s="22" t="str">
        <f t="shared" si="4"/>
        <v>0,00%</v>
      </c>
    </row>
    <row r="12">
      <c r="A12" s="24">
        <v>8.0</v>
      </c>
      <c r="B12" s="57"/>
      <c r="C12" s="58"/>
      <c r="D12" s="80" t="s">
        <v>15</v>
      </c>
      <c r="E12" s="50" t="s">
        <v>16</v>
      </c>
      <c r="F12" s="29" t="s">
        <v>16</v>
      </c>
      <c r="G12" s="29" t="s">
        <v>16</v>
      </c>
      <c r="H12" s="29" t="s">
        <v>15</v>
      </c>
      <c r="I12" s="29" t="s">
        <v>15</v>
      </c>
      <c r="J12" s="29" t="s">
        <v>15</v>
      </c>
      <c r="K12" s="29" t="s">
        <v>15</v>
      </c>
      <c r="L12" s="29" t="s">
        <v>15</v>
      </c>
      <c r="M12" s="29" t="s">
        <v>15</v>
      </c>
      <c r="N12" s="29" t="s">
        <v>15</v>
      </c>
      <c r="O12" s="29" t="s">
        <v>15</v>
      </c>
      <c r="P12" s="29" t="s">
        <v>15</v>
      </c>
      <c r="Q12" s="29" t="s">
        <v>15</v>
      </c>
      <c r="R12" s="29" t="s">
        <v>15</v>
      </c>
      <c r="S12" s="29" t="s">
        <v>15</v>
      </c>
      <c r="T12" s="29" t="s">
        <v>15</v>
      </c>
      <c r="U12" s="29" t="s">
        <v>15</v>
      </c>
      <c r="V12" s="29" t="s">
        <v>15</v>
      </c>
      <c r="W12" s="29" t="s">
        <v>15</v>
      </c>
      <c r="X12" s="34">
        <f t="shared" si="1"/>
        <v>0.85</v>
      </c>
      <c r="Y12" s="29" t="s">
        <v>15</v>
      </c>
      <c r="Z12" s="29" t="s">
        <v>15</v>
      </c>
      <c r="AA12" s="29" t="s">
        <v>15</v>
      </c>
      <c r="AB12" s="29" t="s">
        <v>16</v>
      </c>
      <c r="AC12" s="29" t="s">
        <v>15</v>
      </c>
      <c r="AD12" s="29" t="s">
        <v>16</v>
      </c>
      <c r="AE12" s="29" t="s">
        <v>15</v>
      </c>
      <c r="AF12" s="29" t="s">
        <v>15</v>
      </c>
      <c r="AG12" s="29" t="s">
        <v>16</v>
      </c>
      <c r="AH12" s="29" t="s">
        <v>16</v>
      </c>
      <c r="AI12" s="29" t="s">
        <v>15</v>
      </c>
      <c r="AJ12" s="29" t="s">
        <v>15</v>
      </c>
      <c r="AK12" s="29" t="s">
        <v>15</v>
      </c>
      <c r="AL12" s="29" t="s">
        <v>15</v>
      </c>
      <c r="AM12" s="39" t="s">
        <v>15</v>
      </c>
      <c r="AN12" s="29" t="s">
        <v>16</v>
      </c>
      <c r="AO12" s="29" t="s">
        <v>16</v>
      </c>
      <c r="AP12" s="29" t="s">
        <v>15</v>
      </c>
      <c r="AQ12" s="29" t="s">
        <v>15</v>
      </c>
      <c r="AR12" s="29" t="s">
        <v>15</v>
      </c>
      <c r="AS12" s="34">
        <f t="shared" si="2"/>
        <v>0.7</v>
      </c>
      <c r="AT12" s="29" t="s">
        <v>15</v>
      </c>
      <c r="AU12" s="29" t="s">
        <v>15</v>
      </c>
      <c r="AV12" s="29" t="s">
        <v>15</v>
      </c>
      <c r="AW12" s="29" t="s">
        <v>15</v>
      </c>
      <c r="AX12" s="29" t="s">
        <v>15</v>
      </c>
      <c r="AY12" s="29" t="s">
        <v>15</v>
      </c>
      <c r="AZ12" s="29" t="s">
        <v>15</v>
      </c>
      <c r="BA12" s="34">
        <f t="shared" si="3"/>
        <v>1</v>
      </c>
      <c r="BB12" s="29" t="s">
        <v>15</v>
      </c>
      <c r="BC12" s="29" t="s">
        <v>15</v>
      </c>
      <c r="BD12" s="29" t="s">
        <v>15</v>
      </c>
      <c r="BE12" s="29" t="s">
        <v>15</v>
      </c>
      <c r="BF12" s="29" t="s">
        <v>15</v>
      </c>
      <c r="BG12" s="85" t="s">
        <v>16</v>
      </c>
      <c r="BH12" s="29" t="s">
        <v>15</v>
      </c>
      <c r="BI12" s="29" t="s">
        <v>15</v>
      </c>
      <c r="BJ12" s="29" t="s">
        <v>15</v>
      </c>
      <c r="BK12" s="29" t="s">
        <v>15</v>
      </c>
      <c r="BL12" s="65" t="s">
        <v>15</v>
      </c>
      <c r="BM12" s="29" t="s">
        <v>16</v>
      </c>
      <c r="BN12" s="65" t="s">
        <v>15</v>
      </c>
      <c r="BO12" s="29" t="s">
        <v>15</v>
      </c>
      <c r="BP12" s="29" t="s">
        <v>15</v>
      </c>
      <c r="BQ12" s="53"/>
      <c r="BR12" s="53"/>
      <c r="BS12" s="29" t="s">
        <v>16</v>
      </c>
      <c r="BT12" s="53"/>
      <c r="BU12" s="29" t="s">
        <v>15</v>
      </c>
      <c r="BV12" s="29" t="s">
        <v>15</v>
      </c>
      <c r="BW12" s="29" t="s">
        <v>15</v>
      </c>
      <c r="BX12" s="22">
        <f t="shared" si="4"/>
        <v>0.8421052632</v>
      </c>
    </row>
    <row r="13">
      <c r="A13" s="24">
        <v>9.0</v>
      </c>
      <c r="B13" s="86"/>
      <c r="C13" s="87" t="s">
        <v>23</v>
      </c>
      <c r="D13" s="29" t="s">
        <v>15</v>
      </c>
      <c r="E13" s="50" t="s">
        <v>15</v>
      </c>
      <c r="F13" s="29" t="s">
        <v>16</v>
      </c>
      <c r="G13" s="29" t="s">
        <v>15</v>
      </c>
      <c r="H13" s="29" t="s">
        <v>15</v>
      </c>
      <c r="I13" s="29" t="s">
        <v>16</v>
      </c>
      <c r="J13" s="29" t="s">
        <v>15</v>
      </c>
      <c r="K13" s="29" t="s">
        <v>16</v>
      </c>
      <c r="L13" s="29" t="s">
        <v>16</v>
      </c>
      <c r="M13" s="29" t="s">
        <v>16</v>
      </c>
      <c r="N13" s="29" t="s">
        <v>15</v>
      </c>
      <c r="O13" s="29" t="s">
        <v>16</v>
      </c>
      <c r="P13" s="29" t="s">
        <v>15</v>
      </c>
      <c r="Q13" s="29" t="s">
        <v>16</v>
      </c>
      <c r="R13" s="90" t="s">
        <v>16</v>
      </c>
      <c r="S13" s="90" t="s">
        <v>16</v>
      </c>
      <c r="T13" s="90" t="s">
        <v>16</v>
      </c>
      <c r="U13" s="90" t="s">
        <v>16</v>
      </c>
      <c r="V13" s="90" t="s">
        <v>16</v>
      </c>
      <c r="W13" s="90" t="s">
        <v>16</v>
      </c>
      <c r="X13" s="34">
        <f t="shared" si="1"/>
        <v>0.35</v>
      </c>
      <c r="Y13" s="29" t="s">
        <v>16</v>
      </c>
      <c r="Z13" s="29" t="s">
        <v>16</v>
      </c>
      <c r="AA13" s="29" t="s">
        <v>16</v>
      </c>
      <c r="AB13" s="29" t="s">
        <v>16</v>
      </c>
      <c r="AC13" s="29" t="s">
        <v>16</v>
      </c>
      <c r="AD13" s="29" t="s">
        <v>16</v>
      </c>
      <c r="AE13" s="29" t="s">
        <v>16</v>
      </c>
      <c r="AF13" s="29" t="s">
        <v>16</v>
      </c>
      <c r="AG13" s="29" t="s">
        <v>16</v>
      </c>
      <c r="AH13" s="29" t="s">
        <v>16</v>
      </c>
      <c r="AI13" s="29" t="s">
        <v>16</v>
      </c>
      <c r="AJ13" s="29" t="s">
        <v>16</v>
      </c>
      <c r="AK13" s="29" t="s">
        <v>16</v>
      </c>
      <c r="AL13" s="29" t="s">
        <v>16</v>
      </c>
      <c r="AM13" s="29" t="s">
        <v>16</v>
      </c>
      <c r="AN13" s="29" t="s">
        <v>16</v>
      </c>
      <c r="AO13" s="29" t="s">
        <v>16</v>
      </c>
      <c r="AP13" s="41" t="s">
        <v>20</v>
      </c>
      <c r="AQ13" s="41" t="s">
        <v>20</v>
      </c>
      <c r="AR13" s="41" t="s">
        <v>20</v>
      </c>
      <c r="AS13" s="34">
        <f t="shared" si="2"/>
        <v>0</v>
      </c>
      <c r="AT13" s="41" t="s">
        <v>20</v>
      </c>
      <c r="AU13" s="41" t="s">
        <v>20</v>
      </c>
      <c r="AV13" s="41" t="s">
        <v>20</v>
      </c>
      <c r="AW13" s="41" t="s">
        <v>20</v>
      </c>
      <c r="AX13" s="41" t="s">
        <v>20</v>
      </c>
      <c r="AY13" s="41" t="s">
        <v>20</v>
      </c>
      <c r="AZ13" s="41" t="s">
        <v>20</v>
      </c>
      <c r="BA13" s="34" t="str">
        <f t="shared" si="3"/>
        <v>0,00%</v>
      </c>
      <c r="BB13" s="41" t="s">
        <v>20</v>
      </c>
      <c r="BC13" s="41" t="s">
        <v>20</v>
      </c>
      <c r="BD13" s="41" t="s">
        <v>20</v>
      </c>
      <c r="BE13" s="41" t="s">
        <v>20</v>
      </c>
      <c r="BF13" s="41" t="s">
        <v>20</v>
      </c>
      <c r="BG13" s="74" t="s">
        <v>18</v>
      </c>
      <c r="BH13" s="41" t="s">
        <v>20</v>
      </c>
      <c r="BI13" s="41" t="s">
        <v>20</v>
      </c>
      <c r="BJ13" s="41" t="s">
        <v>20</v>
      </c>
      <c r="BK13" s="41" t="s">
        <v>20</v>
      </c>
      <c r="BL13" s="74" t="s">
        <v>18</v>
      </c>
      <c r="BM13" s="41" t="s">
        <v>20</v>
      </c>
      <c r="BN13" s="74" t="s">
        <v>18</v>
      </c>
      <c r="BO13" s="41" t="s">
        <v>20</v>
      </c>
      <c r="BP13" s="41" t="s">
        <v>20</v>
      </c>
      <c r="BQ13" s="41" t="s">
        <v>20</v>
      </c>
      <c r="BR13" s="41" t="s">
        <v>20</v>
      </c>
      <c r="BS13" s="41" t="s">
        <v>20</v>
      </c>
      <c r="BT13" s="41" t="s">
        <v>20</v>
      </c>
      <c r="BU13" s="41" t="s">
        <v>20</v>
      </c>
      <c r="BV13" s="41" t="s">
        <v>20</v>
      </c>
      <c r="BW13" s="41" t="s">
        <v>20</v>
      </c>
      <c r="BX13" s="22" t="str">
        <f t="shared" si="4"/>
        <v>0,00%</v>
      </c>
    </row>
    <row r="14">
      <c r="A14" s="24">
        <v>10.0</v>
      </c>
      <c r="B14" s="91"/>
      <c r="C14" s="58"/>
      <c r="D14" s="80" t="s">
        <v>15</v>
      </c>
      <c r="E14" s="50" t="s">
        <v>15</v>
      </c>
      <c r="F14" s="29" t="s">
        <v>15</v>
      </c>
      <c r="G14" s="29" t="s">
        <v>15</v>
      </c>
      <c r="H14" s="29" t="s">
        <v>15</v>
      </c>
      <c r="I14" s="29" t="s">
        <v>15</v>
      </c>
      <c r="J14" s="29" t="s">
        <v>15</v>
      </c>
      <c r="K14" s="29" t="s">
        <v>16</v>
      </c>
      <c r="L14" s="29" t="s">
        <v>15</v>
      </c>
      <c r="M14" s="29" t="s">
        <v>15</v>
      </c>
      <c r="N14" s="29" t="s">
        <v>15</v>
      </c>
      <c r="O14" s="29" t="s">
        <v>15</v>
      </c>
      <c r="P14" s="29" t="s">
        <v>15</v>
      </c>
      <c r="Q14" s="29" t="s">
        <v>15</v>
      </c>
      <c r="R14" s="29" t="s">
        <v>15</v>
      </c>
      <c r="S14" s="29" t="s">
        <v>15</v>
      </c>
      <c r="T14" s="29" t="s">
        <v>15</v>
      </c>
      <c r="U14" s="29" t="s">
        <v>15</v>
      </c>
      <c r="V14" s="29" t="s">
        <v>15</v>
      </c>
      <c r="W14" s="29" t="s">
        <v>15</v>
      </c>
      <c r="X14" s="34">
        <f t="shared" si="1"/>
        <v>0.95</v>
      </c>
      <c r="Y14" s="29" t="s">
        <v>15</v>
      </c>
      <c r="Z14" s="29" t="s">
        <v>15</v>
      </c>
      <c r="AA14" s="29" t="s">
        <v>15</v>
      </c>
      <c r="AB14" s="29" t="s">
        <v>15</v>
      </c>
      <c r="AC14" s="29" t="s">
        <v>15</v>
      </c>
      <c r="AD14" s="29" t="s">
        <v>15</v>
      </c>
      <c r="AE14" s="29" t="s">
        <v>15</v>
      </c>
      <c r="AF14" s="29" t="s">
        <v>16</v>
      </c>
      <c r="AG14" s="29" t="s">
        <v>15</v>
      </c>
      <c r="AH14" s="29" t="s">
        <v>15</v>
      </c>
      <c r="AI14" s="29" t="s">
        <v>16</v>
      </c>
      <c r="AJ14" s="29" t="s">
        <v>15</v>
      </c>
      <c r="AK14" s="29" t="s">
        <v>15</v>
      </c>
      <c r="AL14" s="29" t="s">
        <v>15</v>
      </c>
      <c r="AM14" s="39" t="s">
        <v>15</v>
      </c>
      <c r="AN14" s="29" t="s">
        <v>16</v>
      </c>
      <c r="AO14" s="29" t="s">
        <v>16</v>
      </c>
      <c r="AP14" s="29" t="s">
        <v>15</v>
      </c>
      <c r="AQ14" s="29" t="s">
        <v>15</v>
      </c>
      <c r="AR14" s="29" t="s">
        <v>15</v>
      </c>
      <c r="AS14" s="34">
        <f t="shared" si="2"/>
        <v>0.8</v>
      </c>
      <c r="AT14" s="29" t="s">
        <v>15</v>
      </c>
      <c r="AU14" s="29" t="s">
        <v>15</v>
      </c>
      <c r="AV14" s="29" t="s">
        <v>15</v>
      </c>
      <c r="AW14" s="29" t="s">
        <v>15</v>
      </c>
      <c r="AX14" s="29" t="s">
        <v>15</v>
      </c>
      <c r="AY14" s="29" t="s">
        <v>16</v>
      </c>
      <c r="AZ14" s="29" t="s">
        <v>15</v>
      </c>
      <c r="BA14" s="34">
        <f t="shared" si="3"/>
        <v>0.8571428571</v>
      </c>
      <c r="BB14" s="29" t="s">
        <v>15</v>
      </c>
      <c r="BC14" s="29" t="s">
        <v>15</v>
      </c>
      <c r="BD14" s="29" t="s">
        <v>15</v>
      </c>
      <c r="BE14" s="29" t="s">
        <v>15</v>
      </c>
      <c r="BF14" s="29" t="s">
        <v>15</v>
      </c>
      <c r="BG14" s="71" t="s">
        <v>15</v>
      </c>
      <c r="BH14" s="29" t="s">
        <v>16</v>
      </c>
      <c r="BI14" s="29" t="s">
        <v>16</v>
      </c>
      <c r="BJ14" s="29" t="s">
        <v>16</v>
      </c>
      <c r="BK14" s="29" t="s">
        <v>15</v>
      </c>
      <c r="BL14" s="65" t="s">
        <v>15</v>
      </c>
      <c r="BM14" s="29" t="s">
        <v>15</v>
      </c>
      <c r="BN14" s="65" t="s">
        <v>15</v>
      </c>
      <c r="BO14" s="29" t="s">
        <v>15</v>
      </c>
      <c r="BP14" s="29" t="s">
        <v>15</v>
      </c>
      <c r="BQ14" s="53"/>
      <c r="BR14" s="53"/>
      <c r="BS14" s="29" t="s">
        <v>16</v>
      </c>
      <c r="BT14" s="53"/>
      <c r="BU14" s="29" t="s">
        <v>16</v>
      </c>
      <c r="BV14" s="29" t="s">
        <v>15</v>
      </c>
      <c r="BW14" s="29" t="s">
        <v>16</v>
      </c>
      <c r="BX14" s="22">
        <f t="shared" si="4"/>
        <v>0.6842105263</v>
      </c>
    </row>
    <row r="15">
      <c r="A15" s="24">
        <v>11.0</v>
      </c>
      <c r="B15" s="92"/>
      <c r="C15" s="88" t="s">
        <v>19</v>
      </c>
      <c r="D15" s="38" t="s">
        <v>20</v>
      </c>
      <c r="E15" s="38" t="s">
        <v>20</v>
      </c>
      <c r="F15" s="38" t="s">
        <v>20</v>
      </c>
      <c r="G15" s="41" t="s">
        <v>20</v>
      </c>
      <c r="H15" s="38" t="s">
        <v>20</v>
      </c>
      <c r="I15" s="38" t="s">
        <v>20</v>
      </c>
      <c r="J15" s="38" t="s">
        <v>20</v>
      </c>
      <c r="K15" s="38" t="s">
        <v>20</v>
      </c>
      <c r="L15" s="41" t="s">
        <v>20</v>
      </c>
      <c r="M15" s="38" t="s">
        <v>20</v>
      </c>
      <c r="N15" s="38"/>
      <c r="O15" s="41" t="s">
        <v>20</v>
      </c>
      <c r="P15" s="38"/>
      <c r="Q15" s="38" t="s">
        <v>20</v>
      </c>
      <c r="R15" s="38"/>
      <c r="S15" s="38"/>
      <c r="T15" s="38" t="s">
        <v>20</v>
      </c>
      <c r="U15" s="38"/>
      <c r="V15" s="41" t="s">
        <v>20</v>
      </c>
      <c r="W15" s="38"/>
      <c r="X15" s="40" t="str">
        <f t="shared" si="1"/>
        <v>0,00%</v>
      </c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40" t="str">
        <f t="shared" si="2"/>
        <v>0,00%</v>
      </c>
      <c r="AT15" s="38"/>
      <c r="AU15" s="38"/>
      <c r="AV15" s="38"/>
      <c r="AW15" s="38"/>
      <c r="AX15" s="38"/>
      <c r="AY15" s="38"/>
      <c r="AZ15" s="38"/>
      <c r="BA15" s="40" t="str">
        <f t="shared" si="3"/>
        <v>0,00%</v>
      </c>
      <c r="BB15" s="38"/>
      <c r="BC15" s="38"/>
      <c r="BD15" s="38"/>
      <c r="BE15" s="38"/>
      <c r="BF15" s="38"/>
      <c r="BG15" s="74" t="s">
        <v>18</v>
      </c>
      <c r="BH15" s="38"/>
      <c r="BI15" s="38"/>
      <c r="BJ15" s="38"/>
      <c r="BK15" s="38"/>
      <c r="BL15" s="74" t="s">
        <v>18</v>
      </c>
      <c r="BM15" s="38"/>
      <c r="BN15" s="74" t="s">
        <v>18</v>
      </c>
      <c r="BO15" s="38"/>
      <c r="BP15" s="38"/>
      <c r="BQ15" s="38"/>
      <c r="BR15" s="38"/>
      <c r="BS15" s="38"/>
      <c r="BT15" s="38"/>
      <c r="BU15" s="38"/>
      <c r="BV15" s="38"/>
      <c r="BW15" s="38"/>
      <c r="BX15" s="48" t="str">
        <f t="shared" si="4"/>
        <v>0,00%</v>
      </c>
    </row>
    <row r="16">
      <c r="A16" s="24">
        <v>12.0</v>
      </c>
      <c r="B16" s="30"/>
      <c r="C16" s="94" t="s">
        <v>27</v>
      </c>
      <c r="D16" s="38" t="s">
        <v>20</v>
      </c>
      <c r="E16" s="38" t="s">
        <v>20</v>
      </c>
      <c r="F16" s="38" t="s">
        <v>20</v>
      </c>
      <c r="G16" s="41" t="s">
        <v>20</v>
      </c>
      <c r="H16" s="38" t="s">
        <v>20</v>
      </c>
      <c r="I16" s="38" t="s">
        <v>20</v>
      </c>
      <c r="J16" s="38" t="s">
        <v>20</v>
      </c>
      <c r="K16" s="38" t="s">
        <v>20</v>
      </c>
      <c r="L16" s="41" t="s">
        <v>20</v>
      </c>
      <c r="M16" s="38" t="s">
        <v>20</v>
      </c>
      <c r="N16" s="38"/>
      <c r="O16" s="41" t="s">
        <v>20</v>
      </c>
      <c r="P16" s="38"/>
      <c r="Q16" s="38" t="s">
        <v>20</v>
      </c>
      <c r="R16" s="38"/>
      <c r="S16" s="38"/>
      <c r="T16" s="38" t="s">
        <v>20</v>
      </c>
      <c r="U16" s="38"/>
      <c r="V16" s="41" t="s">
        <v>20</v>
      </c>
      <c r="W16" s="38"/>
      <c r="X16" s="40" t="str">
        <f t="shared" si="1"/>
        <v>0,00%</v>
      </c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40" t="str">
        <f t="shared" si="2"/>
        <v>0,00%</v>
      </c>
      <c r="AT16" s="38"/>
      <c r="AU16" s="38"/>
      <c r="AV16" s="38"/>
      <c r="AW16" s="38"/>
      <c r="AX16" s="38"/>
      <c r="AY16" s="38"/>
      <c r="AZ16" s="38"/>
      <c r="BA16" s="40" t="str">
        <f t="shared" si="3"/>
        <v>0,00%</v>
      </c>
      <c r="BB16" s="38"/>
      <c r="BC16" s="38"/>
      <c r="BD16" s="38"/>
      <c r="BE16" s="38"/>
      <c r="BF16" s="38"/>
      <c r="BG16" s="74" t="s">
        <v>18</v>
      </c>
      <c r="BH16" s="38"/>
      <c r="BI16" s="38"/>
      <c r="BJ16" s="38"/>
      <c r="BK16" s="38"/>
      <c r="BL16" s="74" t="s">
        <v>18</v>
      </c>
      <c r="BM16" s="38"/>
      <c r="BN16" s="74" t="s">
        <v>18</v>
      </c>
      <c r="BO16" s="38"/>
      <c r="BP16" s="38"/>
      <c r="BQ16" s="38"/>
      <c r="BR16" s="38"/>
      <c r="BS16" s="38"/>
      <c r="BT16" s="38"/>
      <c r="BU16" s="38"/>
      <c r="BV16" s="38"/>
      <c r="BW16" s="38"/>
      <c r="BX16" s="48" t="str">
        <f t="shared" si="4"/>
        <v>0,00%</v>
      </c>
    </row>
    <row r="17">
      <c r="A17" s="24">
        <v>13.0</v>
      </c>
      <c r="B17" s="57"/>
      <c r="C17" s="58"/>
      <c r="D17" s="50" t="s">
        <v>15</v>
      </c>
      <c r="E17" s="50" t="s">
        <v>15</v>
      </c>
      <c r="F17" s="50" t="s">
        <v>15</v>
      </c>
      <c r="G17" s="29" t="s">
        <v>15</v>
      </c>
      <c r="H17" s="29" t="s">
        <v>16</v>
      </c>
      <c r="I17" s="29" t="s">
        <v>15</v>
      </c>
      <c r="J17" s="29" t="s">
        <v>15</v>
      </c>
      <c r="K17" s="29" t="s">
        <v>15</v>
      </c>
      <c r="L17" s="29" t="s">
        <v>15</v>
      </c>
      <c r="M17" s="29" t="s">
        <v>15</v>
      </c>
      <c r="N17" s="29" t="s">
        <v>15</v>
      </c>
      <c r="O17" s="29" t="s">
        <v>15</v>
      </c>
      <c r="P17" s="29" t="s">
        <v>15</v>
      </c>
      <c r="Q17" s="29" t="s">
        <v>15</v>
      </c>
      <c r="R17" s="29" t="s">
        <v>15</v>
      </c>
      <c r="S17" s="29" t="s">
        <v>15</v>
      </c>
      <c r="T17" s="29" t="s">
        <v>15</v>
      </c>
      <c r="U17" s="29" t="s">
        <v>15</v>
      </c>
      <c r="V17" s="29" t="s">
        <v>16</v>
      </c>
      <c r="W17" s="29" t="s">
        <v>15</v>
      </c>
      <c r="X17" s="34">
        <f t="shared" si="1"/>
        <v>0.9</v>
      </c>
      <c r="Y17" s="29" t="s">
        <v>15</v>
      </c>
      <c r="Z17" s="29" t="s">
        <v>15</v>
      </c>
      <c r="AA17" s="29" t="s">
        <v>15</v>
      </c>
      <c r="AB17" s="29" t="s">
        <v>15</v>
      </c>
      <c r="AC17" s="29" t="s">
        <v>15</v>
      </c>
      <c r="AD17" s="29" t="s">
        <v>16</v>
      </c>
      <c r="AE17" s="29" t="s">
        <v>16</v>
      </c>
      <c r="AF17" s="29" t="s">
        <v>16</v>
      </c>
      <c r="AG17" s="29" t="s">
        <v>15</v>
      </c>
      <c r="AH17" s="29" t="s">
        <v>15</v>
      </c>
      <c r="AI17" s="29" t="s">
        <v>15</v>
      </c>
      <c r="AJ17" s="29" t="s">
        <v>15</v>
      </c>
      <c r="AK17" s="29" t="s">
        <v>15</v>
      </c>
      <c r="AL17" s="29" t="s">
        <v>15</v>
      </c>
      <c r="AM17" s="39" t="s">
        <v>15</v>
      </c>
      <c r="AN17" s="29" t="s">
        <v>15</v>
      </c>
      <c r="AO17" s="29" t="s">
        <v>15</v>
      </c>
      <c r="AP17" s="29" t="s">
        <v>15</v>
      </c>
      <c r="AQ17" s="29" t="s">
        <v>16</v>
      </c>
      <c r="AR17" s="29" t="s">
        <v>15</v>
      </c>
      <c r="AS17" s="34">
        <f t="shared" si="2"/>
        <v>0.8</v>
      </c>
      <c r="AT17" s="29" t="s">
        <v>15</v>
      </c>
      <c r="AU17" s="29" t="s">
        <v>15</v>
      </c>
      <c r="AV17" s="29" t="s">
        <v>15</v>
      </c>
      <c r="AW17" s="29" t="s">
        <v>15</v>
      </c>
      <c r="AX17" s="29" t="s">
        <v>15</v>
      </c>
      <c r="AY17" s="29" t="s">
        <v>15</v>
      </c>
      <c r="AZ17" s="29" t="s">
        <v>15</v>
      </c>
      <c r="BA17" s="34">
        <f t="shared" si="3"/>
        <v>1</v>
      </c>
      <c r="BB17" s="29" t="s">
        <v>15</v>
      </c>
      <c r="BC17" s="29" t="s">
        <v>15</v>
      </c>
      <c r="BD17" s="29" t="s">
        <v>15</v>
      </c>
      <c r="BE17" s="29" t="s">
        <v>15</v>
      </c>
      <c r="BF17" s="29" t="s">
        <v>15</v>
      </c>
      <c r="BG17" s="85" t="s">
        <v>16</v>
      </c>
      <c r="BH17" s="29" t="s">
        <v>15</v>
      </c>
      <c r="BI17" s="29" t="s">
        <v>15</v>
      </c>
      <c r="BJ17" s="29" t="s">
        <v>15</v>
      </c>
      <c r="BK17" s="29" t="s">
        <v>15</v>
      </c>
      <c r="BL17" s="65" t="s">
        <v>15</v>
      </c>
      <c r="BM17" s="29" t="s">
        <v>15</v>
      </c>
      <c r="BN17" s="65" t="s">
        <v>15</v>
      </c>
      <c r="BO17" s="29" t="s">
        <v>15</v>
      </c>
      <c r="BP17" s="29" t="s">
        <v>15</v>
      </c>
      <c r="BQ17" s="53"/>
      <c r="BR17" s="53"/>
      <c r="BS17" s="29" t="s">
        <v>16</v>
      </c>
      <c r="BT17" s="53"/>
      <c r="BU17" s="29" t="s">
        <v>15</v>
      </c>
      <c r="BV17" s="29" t="s">
        <v>15</v>
      </c>
      <c r="BW17" s="29" t="s">
        <v>16</v>
      </c>
      <c r="BX17" s="22">
        <f t="shared" si="4"/>
        <v>0.8421052632</v>
      </c>
    </row>
    <row r="18">
      <c r="A18" s="24">
        <v>14.0</v>
      </c>
      <c r="B18" s="62"/>
      <c r="C18" s="26"/>
      <c r="D18" s="72" t="s">
        <v>15</v>
      </c>
      <c r="E18" s="50" t="s">
        <v>16</v>
      </c>
      <c r="F18" s="29" t="s">
        <v>15</v>
      </c>
      <c r="G18" s="29" t="s">
        <v>15</v>
      </c>
      <c r="H18" s="29" t="s">
        <v>15</v>
      </c>
      <c r="I18" s="29" t="s">
        <v>15</v>
      </c>
      <c r="J18" s="29" t="s">
        <v>15</v>
      </c>
      <c r="K18" s="29" t="s">
        <v>15</v>
      </c>
      <c r="L18" s="29" t="s">
        <v>15</v>
      </c>
      <c r="M18" s="29" t="s">
        <v>15</v>
      </c>
      <c r="N18" s="29" t="s">
        <v>15</v>
      </c>
      <c r="O18" s="29" t="s">
        <v>15</v>
      </c>
      <c r="P18" s="29" t="s">
        <v>15</v>
      </c>
      <c r="Q18" s="29" t="s">
        <v>15</v>
      </c>
      <c r="R18" s="29" t="s">
        <v>15</v>
      </c>
      <c r="S18" s="29" t="s">
        <v>16</v>
      </c>
      <c r="T18" s="29" t="s">
        <v>15</v>
      </c>
      <c r="U18" s="29" t="s">
        <v>15</v>
      </c>
      <c r="V18" s="29" t="s">
        <v>15</v>
      </c>
      <c r="W18" s="29" t="s">
        <v>15</v>
      </c>
      <c r="X18" s="34">
        <f t="shared" si="1"/>
        <v>0.9</v>
      </c>
      <c r="Y18" s="29" t="s">
        <v>15</v>
      </c>
      <c r="Z18" s="29" t="s">
        <v>16</v>
      </c>
      <c r="AA18" s="29" t="s">
        <v>15</v>
      </c>
      <c r="AB18" s="29" t="s">
        <v>16</v>
      </c>
      <c r="AC18" s="29" t="s">
        <v>15</v>
      </c>
      <c r="AD18" s="29" t="s">
        <v>15</v>
      </c>
      <c r="AE18" s="29" t="s">
        <v>15</v>
      </c>
      <c r="AF18" s="29" t="s">
        <v>15</v>
      </c>
      <c r="AG18" s="29" t="s">
        <v>15</v>
      </c>
      <c r="AH18" s="29" t="s">
        <v>15</v>
      </c>
      <c r="AI18" s="29" t="s">
        <v>15</v>
      </c>
      <c r="AJ18" s="29" t="s">
        <v>15</v>
      </c>
      <c r="AK18" s="29" t="s">
        <v>15</v>
      </c>
      <c r="AL18" s="29" t="s">
        <v>15</v>
      </c>
      <c r="AM18" s="39" t="s">
        <v>15</v>
      </c>
      <c r="AN18" s="29" t="s">
        <v>15</v>
      </c>
      <c r="AO18" s="29" t="s">
        <v>15</v>
      </c>
      <c r="AP18" s="29" t="s">
        <v>15</v>
      </c>
      <c r="AQ18" s="29" t="s">
        <v>15</v>
      </c>
      <c r="AR18" s="29" t="s">
        <v>15</v>
      </c>
      <c r="AS18" s="34">
        <f t="shared" si="2"/>
        <v>0.9</v>
      </c>
      <c r="AT18" s="29" t="s">
        <v>15</v>
      </c>
      <c r="AU18" s="29" t="s">
        <v>15</v>
      </c>
      <c r="AV18" s="29" t="s">
        <v>15</v>
      </c>
      <c r="AW18" s="29" t="s">
        <v>15</v>
      </c>
      <c r="AX18" s="29" t="s">
        <v>15</v>
      </c>
      <c r="AY18" s="29" t="s">
        <v>15</v>
      </c>
      <c r="AZ18" s="29" t="s">
        <v>15</v>
      </c>
      <c r="BA18" s="34">
        <f t="shared" si="3"/>
        <v>1</v>
      </c>
      <c r="BB18" s="29" t="s">
        <v>15</v>
      </c>
      <c r="BC18" s="29" t="s">
        <v>15</v>
      </c>
      <c r="BD18" s="29" t="s">
        <v>15</v>
      </c>
      <c r="BE18" s="29" t="s">
        <v>15</v>
      </c>
      <c r="BF18" s="29" t="s">
        <v>15</v>
      </c>
      <c r="BG18" s="85" t="s">
        <v>16</v>
      </c>
      <c r="BH18" s="29" t="s">
        <v>15</v>
      </c>
      <c r="BI18" s="29" t="s">
        <v>15</v>
      </c>
      <c r="BJ18" s="29" t="s">
        <v>15</v>
      </c>
      <c r="BK18" s="29" t="s">
        <v>15</v>
      </c>
      <c r="BL18" s="51" t="s">
        <v>16</v>
      </c>
      <c r="BM18" s="29" t="s">
        <v>15</v>
      </c>
      <c r="BN18" s="65" t="s">
        <v>15</v>
      </c>
      <c r="BO18" s="29" t="s">
        <v>15</v>
      </c>
      <c r="BP18" s="29" t="s">
        <v>15</v>
      </c>
      <c r="BQ18" s="53"/>
      <c r="BR18" s="53"/>
      <c r="BS18" s="29" t="s">
        <v>15</v>
      </c>
      <c r="BT18" s="53"/>
      <c r="BU18" s="29" t="s">
        <v>15</v>
      </c>
      <c r="BV18" s="29" t="s">
        <v>15</v>
      </c>
      <c r="BW18" s="29" t="s">
        <v>16</v>
      </c>
      <c r="BX18" s="22">
        <f t="shared" si="4"/>
        <v>0.8421052632</v>
      </c>
    </row>
    <row r="19">
      <c r="A19" s="24">
        <v>15.0</v>
      </c>
      <c r="B19" s="62"/>
      <c r="C19" s="63"/>
      <c r="D19" s="64" t="s">
        <v>15</v>
      </c>
      <c r="E19" s="50" t="s">
        <v>16</v>
      </c>
      <c r="F19" s="29" t="s">
        <v>15</v>
      </c>
      <c r="G19" s="29" t="s">
        <v>15</v>
      </c>
      <c r="H19" s="29" t="s">
        <v>15</v>
      </c>
      <c r="I19" s="29" t="s">
        <v>15</v>
      </c>
      <c r="J19" s="29" t="s">
        <v>15</v>
      </c>
      <c r="K19" s="29" t="s">
        <v>15</v>
      </c>
      <c r="L19" s="29" t="s">
        <v>15</v>
      </c>
      <c r="M19" s="29" t="s">
        <v>15</v>
      </c>
      <c r="N19" s="29" t="s">
        <v>16</v>
      </c>
      <c r="O19" s="29" t="s">
        <v>15</v>
      </c>
      <c r="P19" s="29" t="s">
        <v>15</v>
      </c>
      <c r="Q19" s="29" t="s">
        <v>15</v>
      </c>
      <c r="R19" s="29" t="s">
        <v>15</v>
      </c>
      <c r="S19" s="29" t="s">
        <v>15</v>
      </c>
      <c r="T19" s="29" t="s">
        <v>15</v>
      </c>
      <c r="U19" s="29" t="s">
        <v>15</v>
      </c>
      <c r="V19" s="29" t="s">
        <v>15</v>
      </c>
      <c r="W19" s="29" t="s">
        <v>15</v>
      </c>
      <c r="X19" s="34">
        <f t="shared" si="1"/>
        <v>0.9</v>
      </c>
      <c r="Y19" s="29" t="s">
        <v>15</v>
      </c>
      <c r="Z19" s="29" t="s">
        <v>16</v>
      </c>
      <c r="AA19" s="29" t="s">
        <v>15</v>
      </c>
      <c r="AB19" s="29" t="s">
        <v>15</v>
      </c>
      <c r="AC19" s="29" t="s">
        <v>15</v>
      </c>
      <c r="AD19" s="29" t="s">
        <v>15</v>
      </c>
      <c r="AE19" s="29" t="s">
        <v>15</v>
      </c>
      <c r="AF19" s="29" t="s">
        <v>15</v>
      </c>
      <c r="AG19" s="29" t="s">
        <v>16</v>
      </c>
      <c r="AH19" s="29" t="s">
        <v>15</v>
      </c>
      <c r="AI19" s="29" t="s">
        <v>15</v>
      </c>
      <c r="AJ19" s="29" t="s">
        <v>16</v>
      </c>
      <c r="AK19" s="29" t="s">
        <v>16</v>
      </c>
      <c r="AL19" s="29" t="s">
        <v>15</v>
      </c>
      <c r="AM19" s="29" t="s">
        <v>16</v>
      </c>
      <c r="AN19" s="29" t="s">
        <v>16</v>
      </c>
      <c r="AO19" s="29" t="s">
        <v>15</v>
      </c>
      <c r="AP19" s="29" t="s">
        <v>16</v>
      </c>
      <c r="AQ19" s="29" t="s">
        <v>15</v>
      </c>
      <c r="AR19" s="29" t="s">
        <v>15</v>
      </c>
      <c r="AS19" s="34">
        <f t="shared" si="2"/>
        <v>0.65</v>
      </c>
      <c r="AT19" s="29" t="s">
        <v>15</v>
      </c>
      <c r="AU19" s="29" t="s">
        <v>16</v>
      </c>
      <c r="AV19" s="29" t="s">
        <v>15</v>
      </c>
      <c r="AW19" s="29" t="s">
        <v>15</v>
      </c>
      <c r="AX19" s="29" t="s">
        <v>16</v>
      </c>
      <c r="AY19" s="29" t="s">
        <v>16</v>
      </c>
      <c r="AZ19" s="29" t="s">
        <v>16</v>
      </c>
      <c r="BA19" s="34">
        <f t="shared" si="3"/>
        <v>0.4285714286</v>
      </c>
      <c r="BB19" s="29" t="s">
        <v>15</v>
      </c>
      <c r="BC19" s="29" t="s">
        <v>15</v>
      </c>
      <c r="BD19" s="29" t="s">
        <v>15</v>
      </c>
      <c r="BE19" s="29" t="s">
        <v>15</v>
      </c>
      <c r="BF19" s="29" t="s">
        <v>15</v>
      </c>
      <c r="BG19" s="85" t="s">
        <v>16</v>
      </c>
      <c r="BH19" s="29" t="s">
        <v>16</v>
      </c>
      <c r="BI19" s="29" t="s">
        <v>16</v>
      </c>
      <c r="BJ19" s="29" t="s">
        <v>16</v>
      </c>
      <c r="BK19" s="29" t="s">
        <v>16</v>
      </c>
      <c r="BL19" s="65" t="s">
        <v>15</v>
      </c>
      <c r="BM19" s="29" t="s">
        <v>15</v>
      </c>
      <c r="BN19" s="65" t="s">
        <v>15</v>
      </c>
      <c r="BO19" s="29" t="s">
        <v>15</v>
      </c>
      <c r="BP19" s="29" t="s">
        <v>16</v>
      </c>
      <c r="BQ19" s="53"/>
      <c r="BR19" s="53"/>
      <c r="BS19" s="29" t="s">
        <v>15</v>
      </c>
      <c r="BT19" s="53"/>
      <c r="BU19" s="29" t="s">
        <v>16</v>
      </c>
      <c r="BV19" s="29" t="s">
        <v>15</v>
      </c>
      <c r="BW19" s="29" t="s">
        <v>15</v>
      </c>
      <c r="BX19" s="22">
        <f t="shared" si="4"/>
        <v>0.6315789474</v>
      </c>
    </row>
    <row r="20">
      <c r="A20" s="24">
        <v>16.0</v>
      </c>
      <c r="B20" s="92"/>
      <c r="C20" s="37" t="s">
        <v>31</v>
      </c>
      <c r="D20" s="38" t="s">
        <v>20</v>
      </c>
      <c r="E20" s="38" t="s">
        <v>20</v>
      </c>
      <c r="F20" s="38" t="s">
        <v>20</v>
      </c>
      <c r="G20" s="41" t="s">
        <v>20</v>
      </c>
      <c r="H20" s="38" t="s">
        <v>20</v>
      </c>
      <c r="I20" s="38" t="s">
        <v>20</v>
      </c>
      <c r="J20" s="38" t="s">
        <v>20</v>
      </c>
      <c r="K20" s="38" t="s">
        <v>20</v>
      </c>
      <c r="L20" s="41" t="s">
        <v>20</v>
      </c>
      <c r="M20" s="38" t="s">
        <v>20</v>
      </c>
      <c r="N20" s="38"/>
      <c r="O20" s="41" t="s">
        <v>20</v>
      </c>
      <c r="P20" s="38"/>
      <c r="Q20" s="38" t="s">
        <v>20</v>
      </c>
      <c r="R20" s="38"/>
      <c r="S20" s="38"/>
      <c r="T20" s="38" t="s">
        <v>20</v>
      </c>
      <c r="U20" s="38"/>
      <c r="V20" s="41" t="s">
        <v>20</v>
      </c>
      <c r="W20" s="38"/>
      <c r="X20" s="40" t="str">
        <f t="shared" si="1"/>
        <v>0,00%</v>
      </c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40" t="str">
        <f t="shared" si="2"/>
        <v>0,00%</v>
      </c>
      <c r="AT20" s="38"/>
      <c r="AU20" s="38"/>
      <c r="AV20" s="38"/>
      <c r="AW20" s="38"/>
      <c r="AX20" s="38"/>
      <c r="AY20" s="38"/>
      <c r="AZ20" s="38"/>
      <c r="BA20" s="40" t="str">
        <f t="shared" si="3"/>
        <v>0,00%</v>
      </c>
      <c r="BB20" s="38"/>
      <c r="BC20" s="38"/>
      <c r="BD20" s="38"/>
      <c r="BE20" s="38"/>
      <c r="BF20" s="38"/>
      <c r="BG20" s="74" t="s">
        <v>18</v>
      </c>
      <c r="BH20" s="38"/>
      <c r="BI20" s="38"/>
      <c r="BJ20" s="38"/>
      <c r="BK20" s="38"/>
      <c r="BL20" s="74" t="s">
        <v>18</v>
      </c>
      <c r="BM20" s="38"/>
      <c r="BN20" s="74" t="s">
        <v>18</v>
      </c>
      <c r="BO20" s="38"/>
      <c r="BP20" s="38"/>
      <c r="BQ20" s="38"/>
      <c r="BR20" s="38"/>
      <c r="BS20" s="38"/>
      <c r="BT20" s="38"/>
      <c r="BU20" s="38"/>
      <c r="BV20" s="38"/>
      <c r="BW20" s="38"/>
      <c r="BX20" s="48" t="str">
        <f t="shared" si="4"/>
        <v>0,00%</v>
      </c>
    </row>
    <row r="21">
      <c r="A21" s="24">
        <v>17.0</v>
      </c>
      <c r="B21" s="55"/>
      <c r="C21" s="58"/>
      <c r="D21" s="50" t="s">
        <v>15</v>
      </c>
      <c r="E21" s="50" t="s">
        <v>16</v>
      </c>
      <c r="F21" s="50" t="s">
        <v>15</v>
      </c>
      <c r="G21" s="29" t="s">
        <v>15</v>
      </c>
      <c r="H21" s="29" t="s">
        <v>15</v>
      </c>
      <c r="I21" s="29" t="s">
        <v>15</v>
      </c>
      <c r="J21" s="29" t="s">
        <v>15</v>
      </c>
      <c r="K21" s="29" t="s">
        <v>15</v>
      </c>
      <c r="L21" s="29" t="s">
        <v>15</v>
      </c>
      <c r="M21" s="29" t="s">
        <v>15</v>
      </c>
      <c r="N21" s="29" t="s">
        <v>15</v>
      </c>
      <c r="O21" s="29" t="s">
        <v>15</v>
      </c>
      <c r="P21" s="29" t="s">
        <v>15</v>
      </c>
      <c r="Q21" s="29" t="s">
        <v>15</v>
      </c>
      <c r="R21" s="29" t="s">
        <v>15</v>
      </c>
      <c r="S21" s="29" t="s">
        <v>15</v>
      </c>
      <c r="T21" s="29" t="s">
        <v>15</v>
      </c>
      <c r="U21" s="29" t="s">
        <v>16</v>
      </c>
      <c r="V21" s="29" t="s">
        <v>15</v>
      </c>
      <c r="W21" s="29" t="s">
        <v>15</v>
      </c>
      <c r="X21" s="29">
        <f t="shared" si="1"/>
        <v>0.9</v>
      </c>
      <c r="Y21" s="29" t="s">
        <v>15</v>
      </c>
      <c r="Z21" s="29" t="s">
        <v>15</v>
      </c>
      <c r="AA21" s="29" t="s">
        <v>15</v>
      </c>
      <c r="AB21" s="29" t="s">
        <v>15</v>
      </c>
      <c r="AC21" s="29" t="s">
        <v>15</v>
      </c>
      <c r="AD21" s="29" t="s">
        <v>15</v>
      </c>
      <c r="AE21" s="29" t="s">
        <v>15</v>
      </c>
      <c r="AF21" s="29" t="s">
        <v>15</v>
      </c>
      <c r="AG21" s="29" t="s">
        <v>15</v>
      </c>
      <c r="AH21" s="29" t="s">
        <v>15</v>
      </c>
      <c r="AI21" s="29" t="s">
        <v>16</v>
      </c>
      <c r="AJ21" s="29" t="s">
        <v>15</v>
      </c>
      <c r="AK21" s="29" t="s">
        <v>15</v>
      </c>
      <c r="AL21" s="29" t="s">
        <v>15</v>
      </c>
      <c r="AM21" s="39" t="s">
        <v>15</v>
      </c>
      <c r="AN21" s="29" t="s">
        <v>15</v>
      </c>
      <c r="AO21" s="29" t="s">
        <v>15</v>
      </c>
      <c r="AP21" s="29" t="s">
        <v>15</v>
      </c>
      <c r="AQ21" s="29" t="s">
        <v>16</v>
      </c>
      <c r="AR21" s="29" t="s">
        <v>15</v>
      </c>
      <c r="AS21" s="34">
        <f t="shared" si="2"/>
        <v>0.9</v>
      </c>
      <c r="AT21" s="29" t="s">
        <v>15</v>
      </c>
      <c r="AU21" s="29" t="s">
        <v>16</v>
      </c>
      <c r="AV21" s="29" t="s">
        <v>15</v>
      </c>
      <c r="AW21" s="29" t="s">
        <v>15</v>
      </c>
      <c r="AX21" s="29" t="s">
        <v>15</v>
      </c>
      <c r="AY21" s="29" t="s">
        <v>16</v>
      </c>
      <c r="AZ21" s="29" t="s">
        <v>15</v>
      </c>
      <c r="BA21" s="34">
        <f t="shared" si="3"/>
        <v>0.7142857143</v>
      </c>
      <c r="BB21" s="29" t="s">
        <v>15</v>
      </c>
      <c r="BC21" s="29" t="s">
        <v>16</v>
      </c>
      <c r="BD21" s="29" t="s">
        <v>15</v>
      </c>
      <c r="BE21" s="29" t="s">
        <v>15</v>
      </c>
      <c r="BF21" s="29" t="s">
        <v>15</v>
      </c>
      <c r="BG21" s="85" t="s">
        <v>16</v>
      </c>
      <c r="BH21" s="29" t="s">
        <v>15</v>
      </c>
      <c r="BI21" s="29" t="s">
        <v>15</v>
      </c>
      <c r="BJ21" s="29" t="s">
        <v>15</v>
      </c>
      <c r="BK21" s="29" t="s">
        <v>16</v>
      </c>
      <c r="BL21" s="71" t="s">
        <v>15</v>
      </c>
      <c r="BM21" s="29" t="s">
        <v>15</v>
      </c>
      <c r="BN21" s="71" t="s">
        <v>15</v>
      </c>
      <c r="BO21" s="29" t="s">
        <v>16</v>
      </c>
      <c r="BP21" s="29" t="s">
        <v>15</v>
      </c>
      <c r="BQ21" s="29"/>
      <c r="BR21" s="29"/>
      <c r="BS21" s="29" t="s">
        <v>15</v>
      </c>
      <c r="BT21" s="29"/>
      <c r="BU21" s="29" t="s">
        <v>16</v>
      </c>
      <c r="BV21" s="29" t="s">
        <v>15</v>
      </c>
      <c r="BW21" s="29" t="s">
        <v>15</v>
      </c>
      <c r="BX21" s="16">
        <f t="shared" si="4"/>
        <v>0.7368421053</v>
      </c>
    </row>
    <row r="22">
      <c r="A22" s="24">
        <v>18.0</v>
      </c>
      <c r="B22" s="55"/>
      <c r="C22" s="26"/>
      <c r="D22" s="72" t="s">
        <v>15</v>
      </c>
      <c r="E22" s="50" t="s">
        <v>15</v>
      </c>
      <c r="F22" s="29" t="s">
        <v>15</v>
      </c>
      <c r="G22" s="29" t="s">
        <v>15</v>
      </c>
      <c r="H22" s="29" t="s">
        <v>15</v>
      </c>
      <c r="I22" s="29" t="s">
        <v>15</v>
      </c>
      <c r="J22" s="29" t="s">
        <v>15</v>
      </c>
      <c r="K22" s="29" t="s">
        <v>15</v>
      </c>
      <c r="L22" s="29" t="s">
        <v>15</v>
      </c>
      <c r="M22" s="29" t="s">
        <v>15</v>
      </c>
      <c r="N22" s="29" t="s">
        <v>15</v>
      </c>
      <c r="O22" s="29" t="s">
        <v>15</v>
      </c>
      <c r="P22" s="29" t="s">
        <v>15</v>
      </c>
      <c r="Q22" s="29" t="s">
        <v>15</v>
      </c>
      <c r="R22" s="29" t="s">
        <v>15</v>
      </c>
      <c r="S22" s="29" t="s">
        <v>15</v>
      </c>
      <c r="T22" s="29" t="s">
        <v>15</v>
      </c>
      <c r="U22" s="29" t="s">
        <v>15</v>
      </c>
      <c r="V22" s="29" t="s">
        <v>15</v>
      </c>
      <c r="W22" s="29" t="s">
        <v>15</v>
      </c>
      <c r="X22" s="34">
        <f t="shared" si="1"/>
        <v>1</v>
      </c>
      <c r="Y22" s="29" t="s">
        <v>15</v>
      </c>
      <c r="Z22" s="29" t="s">
        <v>15</v>
      </c>
      <c r="AA22" s="29" t="s">
        <v>15</v>
      </c>
      <c r="AB22" s="29" t="s">
        <v>15</v>
      </c>
      <c r="AC22" s="29" t="s">
        <v>15</v>
      </c>
      <c r="AD22" s="29" t="s">
        <v>15</v>
      </c>
      <c r="AE22" s="29" t="s">
        <v>15</v>
      </c>
      <c r="AF22" s="29" t="s">
        <v>15</v>
      </c>
      <c r="AG22" s="29" t="s">
        <v>15</v>
      </c>
      <c r="AH22" s="29" t="s">
        <v>15</v>
      </c>
      <c r="AI22" s="29" t="s">
        <v>15</v>
      </c>
      <c r="AJ22" s="29" t="s">
        <v>15</v>
      </c>
      <c r="AK22" s="29" t="s">
        <v>15</v>
      </c>
      <c r="AL22" s="29" t="s">
        <v>15</v>
      </c>
      <c r="AM22" s="39" t="s">
        <v>15</v>
      </c>
      <c r="AN22" s="29" t="s">
        <v>15</v>
      </c>
      <c r="AO22" s="29" t="s">
        <v>15</v>
      </c>
      <c r="AP22" s="29" t="s">
        <v>15</v>
      </c>
      <c r="AQ22" s="29" t="s">
        <v>16</v>
      </c>
      <c r="AR22" s="29" t="s">
        <v>15</v>
      </c>
      <c r="AS22" s="34">
        <f t="shared" si="2"/>
        <v>0.95</v>
      </c>
      <c r="AT22" s="29" t="s">
        <v>15</v>
      </c>
      <c r="AU22" s="29" t="s">
        <v>16</v>
      </c>
      <c r="AV22" s="29" t="s">
        <v>15</v>
      </c>
      <c r="AW22" s="29" t="s">
        <v>15</v>
      </c>
      <c r="AX22" s="29" t="s">
        <v>15</v>
      </c>
      <c r="AY22" s="29" t="s">
        <v>15</v>
      </c>
      <c r="AZ22" s="29" t="s">
        <v>15</v>
      </c>
      <c r="BA22" s="34">
        <f t="shared" si="3"/>
        <v>0.8571428571</v>
      </c>
      <c r="BB22" s="29" t="s">
        <v>15</v>
      </c>
      <c r="BC22" s="29" t="s">
        <v>15</v>
      </c>
      <c r="BD22" s="29" t="s">
        <v>15</v>
      </c>
      <c r="BE22" s="29" t="s">
        <v>15</v>
      </c>
      <c r="BF22" s="29" t="s">
        <v>15</v>
      </c>
      <c r="BG22" s="71" t="s">
        <v>15</v>
      </c>
      <c r="BH22" s="29" t="s">
        <v>16</v>
      </c>
      <c r="BI22" s="29" t="s">
        <v>15</v>
      </c>
      <c r="BJ22" s="29" t="s">
        <v>15</v>
      </c>
      <c r="BK22" s="29" t="s">
        <v>15</v>
      </c>
      <c r="BL22" s="51" t="s">
        <v>16</v>
      </c>
      <c r="BM22" s="29" t="s">
        <v>15</v>
      </c>
      <c r="BN22" s="65" t="s">
        <v>15</v>
      </c>
      <c r="BO22" s="29" t="s">
        <v>15</v>
      </c>
      <c r="BP22" s="29" t="s">
        <v>15</v>
      </c>
      <c r="BQ22" s="53"/>
      <c r="BR22" s="53"/>
      <c r="BS22" s="29" t="s">
        <v>15</v>
      </c>
      <c r="BT22" s="53"/>
      <c r="BU22" s="29" t="s">
        <v>15</v>
      </c>
      <c r="BV22" s="29" t="s">
        <v>15</v>
      </c>
      <c r="BW22" s="29" t="s">
        <v>15</v>
      </c>
      <c r="BX22" s="22">
        <f t="shared" si="4"/>
        <v>0.8947368421</v>
      </c>
    </row>
    <row r="23">
      <c r="A23" s="24">
        <v>19.0</v>
      </c>
      <c r="B23" s="55"/>
      <c r="C23" s="58"/>
      <c r="D23" s="80" t="s">
        <v>15</v>
      </c>
      <c r="E23" s="50" t="s">
        <v>15</v>
      </c>
      <c r="F23" s="29" t="s">
        <v>16</v>
      </c>
      <c r="G23" s="29" t="s">
        <v>15</v>
      </c>
      <c r="H23" s="29" t="s">
        <v>15</v>
      </c>
      <c r="I23" s="29" t="s">
        <v>16</v>
      </c>
      <c r="J23" s="29" t="s">
        <v>15</v>
      </c>
      <c r="K23" s="29" t="s">
        <v>15</v>
      </c>
      <c r="L23" s="29" t="s">
        <v>15</v>
      </c>
      <c r="M23" s="29" t="s">
        <v>15</v>
      </c>
      <c r="N23" s="29" t="s">
        <v>15</v>
      </c>
      <c r="O23" s="29" t="s">
        <v>15</v>
      </c>
      <c r="P23" s="29" t="s">
        <v>15</v>
      </c>
      <c r="Q23" s="29" t="s">
        <v>15</v>
      </c>
      <c r="R23" s="29" t="s">
        <v>15</v>
      </c>
      <c r="S23" s="29" t="s">
        <v>15</v>
      </c>
      <c r="T23" s="29" t="s">
        <v>15</v>
      </c>
      <c r="U23" s="29" t="s">
        <v>15</v>
      </c>
      <c r="V23" s="29" t="s">
        <v>15</v>
      </c>
      <c r="W23" s="29" t="s">
        <v>15</v>
      </c>
      <c r="X23" s="34">
        <f t="shared" si="1"/>
        <v>0.9</v>
      </c>
      <c r="Y23" s="29" t="s">
        <v>15</v>
      </c>
      <c r="Z23" s="29" t="s">
        <v>15</v>
      </c>
      <c r="AA23" s="29" t="s">
        <v>15</v>
      </c>
      <c r="AB23" s="29" t="s">
        <v>16</v>
      </c>
      <c r="AC23" s="29" t="s">
        <v>16</v>
      </c>
      <c r="AD23" s="29" t="s">
        <v>16</v>
      </c>
      <c r="AE23" s="29" t="s">
        <v>16</v>
      </c>
      <c r="AF23" s="29" t="s">
        <v>16</v>
      </c>
      <c r="AG23" s="29" t="s">
        <v>15</v>
      </c>
      <c r="AH23" s="29" t="s">
        <v>15</v>
      </c>
      <c r="AI23" s="29" t="s">
        <v>15</v>
      </c>
      <c r="AJ23" s="29" t="s">
        <v>15</v>
      </c>
      <c r="AK23" s="29" t="s">
        <v>16</v>
      </c>
      <c r="AL23" s="29" t="s">
        <v>16</v>
      </c>
      <c r="AM23" s="39" t="s">
        <v>15</v>
      </c>
      <c r="AN23" s="29" t="s">
        <v>16</v>
      </c>
      <c r="AO23" s="29" t="s">
        <v>16</v>
      </c>
      <c r="AP23" s="29" t="s">
        <v>15</v>
      </c>
      <c r="AQ23" s="29" t="s">
        <v>15</v>
      </c>
      <c r="AR23" s="29" t="s">
        <v>15</v>
      </c>
      <c r="AS23" s="34">
        <f t="shared" si="2"/>
        <v>0.55</v>
      </c>
      <c r="AT23" s="29" t="s">
        <v>16</v>
      </c>
      <c r="AU23" s="29" t="s">
        <v>15</v>
      </c>
      <c r="AV23" s="29" t="s">
        <v>15</v>
      </c>
      <c r="AW23" s="29" t="s">
        <v>15</v>
      </c>
      <c r="AX23" s="29" t="s">
        <v>15</v>
      </c>
      <c r="AY23" s="29" t="s">
        <v>15</v>
      </c>
      <c r="AZ23" s="29" t="s">
        <v>15</v>
      </c>
      <c r="BA23" s="34">
        <f t="shared" si="3"/>
        <v>0.8571428571</v>
      </c>
      <c r="BB23" s="29" t="s">
        <v>15</v>
      </c>
      <c r="BC23" s="29" t="s">
        <v>15</v>
      </c>
      <c r="BD23" s="29" t="s">
        <v>15</v>
      </c>
      <c r="BE23" s="29" t="s">
        <v>16</v>
      </c>
      <c r="BF23" s="29" t="s">
        <v>15</v>
      </c>
      <c r="BG23" s="71" t="s">
        <v>15</v>
      </c>
      <c r="BH23" s="29" t="s">
        <v>16</v>
      </c>
      <c r="BI23" s="29" t="s">
        <v>15</v>
      </c>
      <c r="BJ23" s="29" t="s">
        <v>15</v>
      </c>
      <c r="BK23" s="29" t="s">
        <v>15</v>
      </c>
      <c r="BL23" s="51" t="s">
        <v>16</v>
      </c>
      <c r="BM23" s="29" t="s">
        <v>16</v>
      </c>
      <c r="BN23" s="65" t="s">
        <v>15</v>
      </c>
      <c r="BO23" s="29" t="s">
        <v>15</v>
      </c>
      <c r="BP23" s="29" t="s">
        <v>15</v>
      </c>
      <c r="BQ23" s="53"/>
      <c r="BR23" s="53"/>
      <c r="BS23" s="29" t="s">
        <v>15</v>
      </c>
      <c r="BT23" s="53"/>
      <c r="BU23" s="29" t="s">
        <v>15</v>
      </c>
      <c r="BV23" s="29" t="s">
        <v>15</v>
      </c>
      <c r="BW23" s="29" t="s">
        <v>15</v>
      </c>
      <c r="BX23" s="22">
        <f t="shared" si="4"/>
        <v>0.7894736842</v>
      </c>
    </row>
    <row r="24">
      <c r="A24" s="24">
        <v>20.0</v>
      </c>
      <c r="B24" s="62"/>
      <c r="C24" s="58"/>
      <c r="D24" s="80" t="s">
        <v>15</v>
      </c>
      <c r="E24" s="50" t="s">
        <v>16</v>
      </c>
      <c r="F24" s="29" t="s">
        <v>15</v>
      </c>
      <c r="G24" s="29" t="s">
        <v>16</v>
      </c>
      <c r="H24" s="29" t="s">
        <v>15</v>
      </c>
      <c r="I24" s="29" t="s">
        <v>16</v>
      </c>
      <c r="J24" s="29" t="s">
        <v>15</v>
      </c>
      <c r="K24" s="29" t="s">
        <v>15</v>
      </c>
      <c r="L24" s="29" t="s">
        <v>15</v>
      </c>
      <c r="M24" s="29" t="s">
        <v>16</v>
      </c>
      <c r="N24" s="29" t="s">
        <v>15</v>
      </c>
      <c r="O24" s="29" t="s">
        <v>15</v>
      </c>
      <c r="P24" s="29" t="s">
        <v>15</v>
      </c>
      <c r="Q24" s="29" t="s">
        <v>16</v>
      </c>
      <c r="R24" s="29" t="s">
        <v>15</v>
      </c>
      <c r="S24" s="29" t="s">
        <v>16</v>
      </c>
      <c r="T24" s="29" t="s">
        <v>15</v>
      </c>
      <c r="U24" s="29" t="s">
        <v>15</v>
      </c>
      <c r="V24" s="29" t="s">
        <v>15</v>
      </c>
      <c r="W24" s="29" t="s">
        <v>15</v>
      </c>
      <c r="X24" s="34">
        <f t="shared" si="1"/>
        <v>0.7</v>
      </c>
      <c r="Y24" s="29" t="s">
        <v>16</v>
      </c>
      <c r="Z24" s="29" t="s">
        <v>15</v>
      </c>
      <c r="AA24" s="29" t="s">
        <v>16</v>
      </c>
      <c r="AB24" s="29" t="s">
        <v>16</v>
      </c>
      <c r="AC24" s="29" t="s">
        <v>15</v>
      </c>
      <c r="AD24" s="29" t="s">
        <v>15</v>
      </c>
      <c r="AE24" s="29" t="s">
        <v>15</v>
      </c>
      <c r="AF24" s="29" t="s">
        <v>16</v>
      </c>
      <c r="AG24" s="29" t="s">
        <v>16</v>
      </c>
      <c r="AH24" s="29" t="s">
        <v>15</v>
      </c>
      <c r="AI24" s="29" t="s">
        <v>15</v>
      </c>
      <c r="AJ24" s="29" t="s">
        <v>16</v>
      </c>
      <c r="AK24" s="29" t="s">
        <v>15</v>
      </c>
      <c r="AL24" s="29" t="s">
        <v>15</v>
      </c>
      <c r="AM24" s="39" t="s">
        <v>15</v>
      </c>
      <c r="AN24" s="29" t="s">
        <v>16</v>
      </c>
      <c r="AO24" s="29" t="s">
        <v>16</v>
      </c>
      <c r="AP24" s="29" t="s">
        <v>15</v>
      </c>
      <c r="AQ24" s="29" t="s">
        <v>15</v>
      </c>
      <c r="AR24" s="29" t="s">
        <v>15</v>
      </c>
      <c r="AS24" s="34">
        <f t="shared" si="2"/>
        <v>0.6</v>
      </c>
      <c r="AT24" s="29" t="s">
        <v>15</v>
      </c>
      <c r="AU24" s="29" t="s">
        <v>16</v>
      </c>
      <c r="AV24" s="29" t="s">
        <v>15</v>
      </c>
      <c r="AW24" s="29" t="s">
        <v>15</v>
      </c>
      <c r="AX24" s="29" t="s">
        <v>15</v>
      </c>
      <c r="AY24" s="29" t="s">
        <v>15</v>
      </c>
      <c r="AZ24" s="29" t="s">
        <v>15</v>
      </c>
      <c r="BA24" s="34">
        <f t="shared" si="3"/>
        <v>0.8571428571</v>
      </c>
      <c r="BB24" s="29" t="s">
        <v>15</v>
      </c>
      <c r="BC24" s="29" t="s">
        <v>16</v>
      </c>
      <c r="BD24" s="29" t="s">
        <v>15</v>
      </c>
      <c r="BE24" s="29" t="s">
        <v>15</v>
      </c>
      <c r="BF24" s="29" t="s">
        <v>15</v>
      </c>
      <c r="BG24" s="71" t="s">
        <v>15</v>
      </c>
      <c r="BH24" s="29" t="s">
        <v>16</v>
      </c>
      <c r="BI24" s="29" t="s">
        <v>15</v>
      </c>
      <c r="BJ24" s="29" t="s">
        <v>16</v>
      </c>
      <c r="BK24" s="29" t="s">
        <v>15</v>
      </c>
      <c r="BL24" s="51" t="s">
        <v>16</v>
      </c>
      <c r="BM24" s="29" t="s">
        <v>15</v>
      </c>
      <c r="BN24" s="51" t="s">
        <v>16</v>
      </c>
      <c r="BO24" s="29" t="s">
        <v>16</v>
      </c>
      <c r="BP24" s="107" t="s">
        <v>16</v>
      </c>
      <c r="BQ24" s="53"/>
      <c r="BR24" s="53"/>
      <c r="BS24" s="29" t="s">
        <v>15</v>
      </c>
      <c r="BT24" s="53"/>
      <c r="BU24" s="29" t="s">
        <v>15</v>
      </c>
      <c r="BV24" s="29" t="s">
        <v>16</v>
      </c>
      <c r="BW24" s="29" t="s">
        <v>15</v>
      </c>
      <c r="BX24" s="22">
        <f t="shared" si="4"/>
        <v>0.5789473684</v>
      </c>
    </row>
    <row r="25">
      <c r="A25" s="24">
        <v>21.0</v>
      </c>
      <c r="B25" s="62"/>
      <c r="C25" s="58"/>
      <c r="D25" s="80" t="s">
        <v>15</v>
      </c>
      <c r="E25" s="50" t="s">
        <v>15</v>
      </c>
      <c r="F25" s="29" t="s">
        <v>15</v>
      </c>
      <c r="G25" s="29" t="s">
        <v>15</v>
      </c>
      <c r="H25" s="29" t="s">
        <v>16</v>
      </c>
      <c r="I25" s="29" t="s">
        <v>15</v>
      </c>
      <c r="J25" s="29" t="s">
        <v>15</v>
      </c>
      <c r="K25" s="29" t="s">
        <v>15</v>
      </c>
      <c r="L25" s="29" t="s">
        <v>15</v>
      </c>
      <c r="M25" s="29" t="s">
        <v>15</v>
      </c>
      <c r="N25" s="29" t="s">
        <v>15</v>
      </c>
      <c r="O25" s="29" t="s">
        <v>15</v>
      </c>
      <c r="P25" s="29" t="s">
        <v>15</v>
      </c>
      <c r="Q25" s="108" t="s">
        <v>15</v>
      </c>
      <c r="R25" s="108" t="s">
        <v>15</v>
      </c>
      <c r="S25" s="108" t="s">
        <v>15</v>
      </c>
      <c r="T25" s="29" t="s">
        <v>15</v>
      </c>
      <c r="U25" s="108" t="s">
        <v>15</v>
      </c>
      <c r="V25" s="108" t="s">
        <v>15</v>
      </c>
      <c r="W25" s="108" t="s">
        <v>15</v>
      </c>
      <c r="X25" s="34">
        <f t="shared" si="1"/>
        <v>0.95</v>
      </c>
      <c r="Y25" s="29" t="s">
        <v>15</v>
      </c>
      <c r="Z25" s="29" t="s">
        <v>15</v>
      </c>
      <c r="AA25" s="29" t="s">
        <v>15</v>
      </c>
      <c r="AB25" s="29" t="s">
        <v>15</v>
      </c>
      <c r="AC25" s="29" t="s">
        <v>15</v>
      </c>
      <c r="AD25" s="29" t="s">
        <v>15</v>
      </c>
      <c r="AE25" s="29" t="s">
        <v>15</v>
      </c>
      <c r="AF25" s="29" t="s">
        <v>15</v>
      </c>
      <c r="AG25" s="29" t="s">
        <v>15</v>
      </c>
      <c r="AH25" s="29" t="s">
        <v>15</v>
      </c>
      <c r="AI25" s="29" t="s">
        <v>15</v>
      </c>
      <c r="AJ25" s="29" t="s">
        <v>15</v>
      </c>
      <c r="AK25" s="29" t="s">
        <v>16</v>
      </c>
      <c r="AL25" s="29" t="s">
        <v>15</v>
      </c>
      <c r="AM25" s="39" t="s">
        <v>15</v>
      </c>
      <c r="AN25" s="29" t="s">
        <v>15</v>
      </c>
      <c r="AO25" s="29" t="s">
        <v>15</v>
      </c>
      <c r="AP25" s="29" t="s">
        <v>15</v>
      </c>
      <c r="AQ25" s="29" t="s">
        <v>15</v>
      </c>
      <c r="AR25" s="29" t="s">
        <v>15</v>
      </c>
      <c r="AS25" s="34">
        <f t="shared" si="2"/>
        <v>0.95</v>
      </c>
      <c r="AT25" s="29" t="s">
        <v>16</v>
      </c>
      <c r="AU25" s="29" t="s">
        <v>16</v>
      </c>
      <c r="AV25" s="29" t="s">
        <v>15</v>
      </c>
      <c r="AW25" s="29" t="s">
        <v>15</v>
      </c>
      <c r="AX25" s="29" t="s">
        <v>15</v>
      </c>
      <c r="AY25" s="29" t="s">
        <v>15</v>
      </c>
      <c r="AZ25" s="29" t="s">
        <v>15</v>
      </c>
      <c r="BA25" s="34">
        <f t="shared" si="3"/>
        <v>0.7142857143</v>
      </c>
      <c r="BB25" s="29" t="s">
        <v>15</v>
      </c>
      <c r="BC25" s="29" t="s">
        <v>15</v>
      </c>
      <c r="BD25" s="29" t="s">
        <v>15</v>
      </c>
      <c r="BE25" s="29" t="s">
        <v>15</v>
      </c>
      <c r="BF25" s="29" t="s">
        <v>15</v>
      </c>
      <c r="BG25" s="71" t="s">
        <v>15</v>
      </c>
      <c r="BH25" s="29" t="s">
        <v>16</v>
      </c>
      <c r="BI25" s="29" t="s">
        <v>15</v>
      </c>
      <c r="BJ25" s="29" t="s">
        <v>16</v>
      </c>
      <c r="BK25" s="29" t="s">
        <v>15</v>
      </c>
      <c r="BL25" s="65" t="s">
        <v>15</v>
      </c>
      <c r="BM25" s="29" t="s">
        <v>15</v>
      </c>
      <c r="BN25" s="65" t="s">
        <v>15</v>
      </c>
      <c r="BO25" s="29" t="s">
        <v>15</v>
      </c>
      <c r="BP25" s="29" t="s">
        <v>15</v>
      </c>
      <c r="BQ25" s="53"/>
      <c r="BR25" s="53"/>
      <c r="BS25" s="29" t="s">
        <v>15</v>
      </c>
      <c r="BT25" s="53"/>
      <c r="BU25" s="29" t="s">
        <v>15</v>
      </c>
      <c r="BV25" s="29" t="s">
        <v>16</v>
      </c>
      <c r="BW25" s="29" t="s">
        <v>15</v>
      </c>
      <c r="BX25" s="22">
        <f t="shared" si="4"/>
        <v>0.8421052632</v>
      </c>
    </row>
    <row r="26">
      <c r="A26" s="24">
        <v>22.0</v>
      </c>
      <c r="B26" s="55"/>
      <c r="C26" s="58"/>
      <c r="D26" s="29" t="s">
        <v>15</v>
      </c>
      <c r="E26" s="50" t="s">
        <v>16</v>
      </c>
      <c r="F26" s="29" t="s">
        <v>15</v>
      </c>
      <c r="G26" s="29" t="s">
        <v>15</v>
      </c>
      <c r="H26" s="29" t="s">
        <v>16</v>
      </c>
      <c r="I26" s="29" t="s">
        <v>15</v>
      </c>
      <c r="J26" s="29" t="s">
        <v>15</v>
      </c>
      <c r="K26" s="29" t="s">
        <v>16</v>
      </c>
      <c r="L26" s="29" t="s">
        <v>15</v>
      </c>
      <c r="M26" s="29" t="s">
        <v>16</v>
      </c>
      <c r="N26" s="29" t="s">
        <v>16</v>
      </c>
      <c r="O26" s="29" t="s">
        <v>15</v>
      </c>
      <c r="P26" s="29" t="s">
        <v>15</v>
      </c>
      <c r="Q26" s="108" t="s">
        <v>15</v>
      </c>
      <c r="R26" s="108" t="s">
        <v>15</v>
      </c>
      <c r="S26" s="108" t="s">
        <v>15</v>
      </c>
      <c r="T26" s="29" t="s">
        <v>15</v>
      </c>
      <c r="U26" s="108" t="s">
        <v>15</v>
      </c>
      <c r="V26" s="108" t="s">
        <v>15</v>
      </c>
      <c r="W26" s="108" t="s">
        <v>16</v>
      </c>
      <c r="X26" s="34">
        <f t="shared" si="1"/>
        <v>0.7</v>
      </c>
      <c r="Y26" s="29" t="s">
        <v>15</v>
      </c>
      <c r="Z26" s="29" t="s">
        <v>16</v>
      </c>
      <c r="AA26" s="29" t="s">
        <v>16</v>
      </c>
      <c r="AB26" s="29" t="s">
        <v>15</v>
      </c>
      <c r="AC26" s="29" t="s">
        <v>15</v>
      </c>
      <c r="AD26" s="29" t="s">
        <v>15</v>
      </c>
      <c r="AE26" s="29" t="s">
        <v>16</v>
      </c>
      <c r="AF26" s="29" t="s">
        <v>16</v>
      </c>
      <c r="AG26" s="29" t="s">
        <v>15</v>
      </c>
      <c r="AH26" s="29" t="s">
        <v>15</v>
      </c>
      <c r="AI26" s="29" t="s">
        <v>16</v>
      </c>
      <c r="AJ26" s="29" t="s">
        <v>15</v>
      </c>
      <c r="AK26" s="29" t="s">
        <v>16</v>
      </c>
      <c r="AL26" s="29" t="s">
        <v>15</v>
      </c>
      <c r="AM26" s="39" t="s">
        <v>15</v>
      </c>
      <c r="AN26" s="29" t="s">
        <v>16</v>
      </c>
      <c r="AO26" s="29" t="s">
        <v>15</v>
      </c>
      <c r="AP26" s="29" t="s">
        <v>16</v>
      </c>
      <c r="AQ26" s="29" t="s">
        <v>15</v>
      </c>
      <c r="AR26" s="29" t="s">
        <v>15</v>
      </c>
      <c r="AS26" s="34">
        <f t="shared" si="2"/>
        <v>0.6</v>
      </c>
      <c r="AT26" s="29" t="s">
        <v>15</v>
      </c>
      <c r="AU26" s="29" t="s">
        <v>15</v>
      </c>
      <c r="AV26" s="29" t="s">
        <v>15</v>
      </c>
      <c r="AW26" s="29" t="s">
        <v>15</v>
      </c>
      <c r="AX26" s="29" t="s">
        <v>15</v>
      </c>
      <c r="AY26" s="29" t="s">
        <v>15</v>
      </c>
      <c r="AZ26" s="29" t="s">
        <v>16</v>
      </c>
      <c r="BA26" s="34">
        <f t="shared" si="3"/>
        <v>0.8571428571</v>
      </c>
      <c r="BB26" s="29" t="s">
        <v>15</v>
      </c>
      <c r="BC26" s="29" t="s">
        <v>15</v>
      </c>
      <c r="BD26" s="29" t="s">
        <v>15</v>
      </c>
      <c r="BE26" s="29" t="s">
        <v>15</v>
      </c>
      <c r="BF26" s="29" t="s">
        <v>15</v>
      </c>
      <c r="BG26" s="71" t="s">
        <v>15</v>
      </c>
      <c r="BH26" s="90" t="s">
        <v>15</v>
      </c>
      <c r="BI26" s="90" t="s">
        <v>16</v>
      </c>
      <c r="BJ26" s="29" t="s">
        <v>16</v>
      </c>
      <c r="BK26" s="29" t="s">
        <v>16</v>
      </c>
      <c r="BL26" s="65" t="s">
        <v>15</v>
      </c>
      <c r="BM26" s="29" t="s">
        <v>15</v>
      </c>
      <c r="BN26" s="65" t="s">
        <v>15</v>
      </c>
      <c r="BO26" s="29" t="s">
        <v>15</v>
      </c>
      <c r="BP26" s="29" t="s">
        <v>15</v>
      </c>
      <c r="BQ26" s="53"/>
      <c r="BR26" s="53"/>
      <c r="BS26" s="29" t="s">
        <v>16</v>
      </c>
      <c r="BT26" s="53"/>
      <c r="BU26" s="29" t="s">
        <v>15</v>
      </c>
      <c r="BV26" s="29" t="s">
        <v>15</v>
      </c>
      <c r="BW26" s="29" t="s">
        <v>15</v>
      </c>
      <c r="BX26" s="22">
        <f t="shared" si="4"/>
        <v>0.7894736842</v>
      </c>
    </row>
    <row r="27">
      <c r="A27" s="24">
        <v>23.0</v>
      </c>
      <c r="B27" s="46"/>
      <c r="C27" s="58"/>
      <c r="D27" s="29" t="s">
        <v>15</v>
      </c>
      <c r="E27" s="50" t="s">
        <v>15</v>
      </c>
      <c r="F27" s="29" t="s">
        <v>15</v>
      </c>
      <c r="G27" s="29" t="s">
        <v>15</v>
      </c>
      <c r="H27" s="29" t="s">
        <v>15</v>
      </c>
      <c r="I27" s="29" t="s">
        <v>15</v>
      </c>
      <c r="J27" s="29" t="s">
        <v>15</v>
      </c>
      <c r="K27" s="29" t="s">
        <v>15</v>
      </c>
      <c r="L27" s="29" t="s">
        <v>15</v>
      </c>
      <c r="M27" s="29" t="s">
        <v>15</v>
      </c>
      <c r="N27" s="29" t="s">
        <v>15</v>
      </c>
      <c r="O27" s="29" t="s">
        <v>15</v>
      </c>
      <c r="P27" s="29" t="s">
        <v>15</v>
      </c>
      <c r="Q27" s="29" t="s">
        <v>15</v>
      </c>
      <c r="R27" s="29" t="s">
        <v>15</v>
      </c>
      <c r="S27" s="29" t="s">
        <v>15</v>
      </c>
      <c r="T27" s="29" t="s">
        <v>15</v>
      </c>
      <c r="U27" s="29" t="s">
        <v>15</v>
      </c>
      <c r="V27" s="29" t="s">
        <v>15</v>
      </c>
      <c r="W27" s="29" t="s">
        <v>15</v>
      </c>
      <c r="X27" s="34">
        <f t="shared" si="1"/>
        <v>1</v>
      </c>
      <c r="Y27" s="29" t="s">
        <v>15</v>
      </c>
      <c r="Z27" s="29" t="s">
        <v>15</v>
      </c>
      <c r="AA27" s="29" t="s">
        <v>15</v>
      </c>
      <c r="AB27" s="29" t="s">
        <v>15</v>
      </c>
      <c r="AC27" s="29" t="s">
        <v>15</v>
      </c>
      <c r="AD27" s="29" t="s">
        <v>15</v>
      </c>
      <c r="AE27" s="29" t="s">
        <v>15</v>
      </c>
      <c r="AF27" s="29" t="s">
        <v>15</v>
      </c>
      <c r="AG27" s="29" t="s">
        <v>15</v>
      </c>
      <c r="AH27" s="29" t="s">
        <v>15</v>
      </c>
      <c r="AI27" s="29" t="s">
        <v>15</v>
      </c>
      <c r="AJ27" s="29" t="s">
        <v>16</v>
      </c>
      <c r="AK27" s="29" t="s">
        <v>15</v>
      </c>
      <c r="AL27" s="29" t="s">
        <v>15</v>
      </c>
      <c r="AM27" s="39" t="s">
        <v>15</v>
      </c>
      <c r="AN27" s="29" t="s">
        <v>15</v>
      </c>
      <c r="AO27" s="29" t="s">
        <v>15</v>
      </c>
      <c r="AP27" s="29" t="s">
        <v>16</v>
      </c>
      <c r="AQ27" s="29" t="s">
        <v>15</v>
      </c>
      <c r="AR27" s="29" t="s">
        <v>15</v>
      </c>
      <c r="AS27" s="34">
        <f t="shared" si="2"/>
        <v>0.9</v>
      </c>
      <c r="AT27" s="29" t="s">
        <v>15</v>
      </c>
      <c r="AU27" s="29" t="s">
        <v>16</v>
      </c>
      <c r="AV27" s="29" t="s">
        <v>15</v>
      </c>
      <c r="AW27" s="29" t="s">
        <v>15</v>
      </c>
      <c r="AX27" s="29" t="s">
        <v>15</v>
      </c>
      <c r="AY27" s="29" t="s">
        <v>15</v>
      </c>
      <c r="AZ27" s="29" t="s">
        <v>15</v>
      </c>
      <c r="BA27" s="34">
        <f t="shared" si="3"/>
        <v>0.8571428571</v>
      </c>
      <c r="BB27" s="29" t="s">
        <v>15</v>
      </c>
      <c r="BC27" s="29" t="s">
        <v>15</v>
      </c>
      <c r="BD27" s="29" t="s">
        <v>15</v>
      </c>
      <c r="BE27" s="29" t="s">
        <v>15</v>
      </c>
      <c r="BF27" s="29" t="s">
        <v>15</v>
      </c>
      <c r="BG27" s="71" t="s">
        <v>15</v>
      </c>
      <c r="BH27" s="29" t="s">
        <v>15</v>
      </c>
      <c r="BI27" s="29" t="s">
        <v>15</v>
      </c>
      <c r="BJ27" s="29" t="s">
        <v>15</v>
      </c>
      <c r="BK27" s="29" t="s">
        <v>15</v>
      </c>
      <c r="BL27" s="71" t="s">
        <v>15</v>
      </c>
      <c r="BM27" s="29" t="s">
        <v>15</v>
      </c>
      <c r="BN27" s="71" t="s">
        <v>15</v>
      </c>
      <c r="BO27" s="29" t="s">
        <v>16</v>
      </c>
      <c r="BP27" s="29" t="s">
        <v>16</v>
      </c>
      <c r="BQ27" s="29"/>
      <c r="BR27" s="29"/>
      <c r="BS27" s="29" t="s">
        <v>15</v>
      </c>
      <c r="BT27" s="29"/>
      <c r="BU27" s="29" t="s">
        <v>15</v>
      </c>
      <c r="BV27" s="29" t="s">
        <v>15</v>
      </c>
      <c r="BW27" s="29" t="s">
        <v>15</v>
      </c>
      <c r="BX27" s="22">
        <f t="shared" si="4"/>
        <v>0.8947368421</v>
      </c>
    </row>
    <row r="28">
      <c r="A28" s="24">
        <v>24.0</v>
      </c>
      <c r="B28" s="57"/>
      <c r="C28" s="58"/>
      <c r="D28" s="29" t="s">
        <v>15</v>
      </c>
      <c r="E28" s="50" t="s">
        <v>15</v>
      </c>
      <c r="F28" s="29" t="s">
        <v>16</v>
      </c>
      <c r="G28" s="29" t="s">
        <v>15</v>
      </c>
      <c r="H28" s="29" t="s">
        <v>15</v>
      </c>
      <c r="I28" s="29" t="s">
        <v>15</v>
      </c>
      <c r="J28" s="29" t="s">
        <v>15</v>
      </c>
      <c r="K28" s="29" t="s">
        <v>15</v>
      </c>
      <c r="L28" s="29" t="s">
        <v>15</v>
      </c>
      <c r="M28" s="29" t="s">
        <v>15</v>
      </c>
      <c r="N28" s="29" t="s">
        <v>15</v>
      </c>
      <c r="O28" s="29" t="s">
        <v>16</v>
      </c>
      <c r="P28" s="29" t="s">
        <v>15</v>
      </c>
      <c r="Q28" s="108" t="s">
        <v>16</v>
      </c>
      <c r="R28" s="108" t="s">
        <v>15</v>
      </c>
      <c r="S28" s="108" t="s">
        <v>15</v>
      </c>
      <c r="T28" s="29" t="s">
        <v>15</v>
      </c>
      <c r="U28" s="108" t="s">
        <v>15</v>
      </c>
      <c r="V28" s="108" t="s">
        <v>15</v>
      </c>
      <c r="W28" s="108" t="s">
        <v>15</v>
      </c>
      <c r="X28" s="34">
        <f t="shared" si="1"/>
        <v>0.85</v>
      </c>
      <c r="Y28" s="29" t="s">
        <v>15</v>
      </c>
      <c r="Z28" s="29" t="s">
        <v>15</v>
      </c>
      <c r="AA28" s="29" t="s">
        <v>16</v>
      </c>
      <c r="AB28" s="29" t="s">
        <v>15</v>
      </c>
      <c r="AC28" s="29" t="s">
        <v>15</v>
      </c>
      <c r="AD28" s="29" t="s">
        <v>15</v>
      </c>
      <c r="AE28" s="29" t="s">
        <v>16</v>
      </c>
      <c r="AF28" s="29" t="s">
        <v>15</v>
      </c>
      <c r="AG28" s="29" t="s">
        <v>16</v>
      </c>
      <c r="AH28" s="29" t="s">
        <v>15</v>
      </c>
      <c r="AI28" s="29" t="s">
        <v>15</v>
      </c>
      <c r="AJ28" s="29" t="s">
        <v>15</v>
      </c>
      <c r="AK28" s="29" t="s">
        <v>15</v>
      </c>
      <c r="AL28" s="29" t="s">
        <v>15</v>
      </c>
      <c r="AM28" s="39" t="s">
        <v>15</v>
      </c>
      <c r="AN28" s="29" t="s">
        <v>16</v>
      </c>
      <c r="AO28" s="29" t="s">
        <v>15</v>
      </c>
      <c r="AP28" s="29" t="s">
        <v>16</v>
      </c>
      <c r="AQ28" s="29" t="s">
        <v>15</v>
      </c>
      <c r="AR28" s="29" t="s">
        <v>15</v>
      </c>
      <c r="AS28" s="34">
        <f t="shared" si="2"/>
        <v>0.75</v>
      </c>
      <c r="AT28" s="29" t="s">
        <v>15</v>
      </c>
      <c r="AU28" s="29" t="s">
        <v>16</v>
      </c>
      <c r="AV28" s="29" t="s">
        <v>15</v>
      </c>
      <c r="AW28" s="29" t="s">
        <v>15</v>
      </c>
      <c r="AX28" s="29" t="s">
        <v>15</v>
      </c>
      <c r="AY28" s="29" t="s">
        <v>15</v>
      </c>
      <c r="AZ28" s="29" t="s">
        <v>16</v>
      </c>
      <c r="BA28" s="34">
        <f t="shared" si="3"/>
        <v>0.7142857143</v>
      </c>
      <c r="BB28" s="29" t="s">
        <v>15</v>
      </c>
      <c r="BC28" s="29" t="s">
        <v>15</v>
      </c>
      <c r="BD28" s="29" t="s">
        <v>16</v>
      </c>
      <c r="BE28" s="29" t="s">
        <v>15</v>
      </c>
      <c r="BF28" s="29" t="s">
        <v>15</v>
      </c>
      <c r="BG28" s="71" t="s">
        <v>15</v>
      </c>
      <c r="BH28" s="29" t="s">
        <v>16</v>
      </c>
      <c r="BI28" s="29" t="s">
        <v>15</v>
      </c>
      <c r="BJ28" s="29" t="s">
        <v>15</v>
      </c>
      <c r="BK28" s="29" t="s">
        <v>15</v>
      </c>
      <c r="BL28" s="65" t="s">
        <v>15</v>
      </c>
      <c r="BM28" s="29" t="s">
        <v>15</v>
      </c>
      <c r="BN28" s="65" t="s">
        <v>15</v>
      </c>
      <c r="BO28" s="29" t="s">
        <v>15</v>
      </c>
      <c r="BP28" s="29" t="s">
        <v>15</v>
      </c>
      <c r="BQ28" s="53"/>
      <c r="BR28" s="53"/>
      <c r="BS28" s="29" t="s">
        <v>16</v>
      </c>
      <c r="BT28" s="53"/>
      <c r="BU28" s="29" t="s">
        <v>15</v>
      </c>
      <c r="BV28" s="29" t="s">
        <v>15</v>
      </c>
      <c r="BW28" s="29" t="s">
        <v>15</v>
      </c>
      <c r="BX28" s="22">
        <f t="shared" si="4"/>
        <v>0.8421052632</v>
      </c>
    </row>
    <row r="29">
      <c r="A29" s="24">
        <v>25.0</v>
      </c>
      <c r="B29" s="35"/>
      <c r="C29" s="112" t="s">
        <v>36</v>
      </c>
      <c r="D29" s="38"/>
      <c r="E29" s="38" t="s">
        <v>20</v>
      </c>
      <c r="F29" s="38" t="s">
        <v>20</v>
      </c>
      <c r="G29" s="41" t="s">
        <v>20</v>
      </c>
      <c r="H29" s="38" t="s">
        <v>20</v>
      </c>
      <c r="I29" s="38"/>
      <c r="J29" s="38" t="s">
        <v>20</v>
      </c>
      <c r="K29" s="38" t="s">
        <v>20</v>
      </c>
      <c r="L29" s="41" t="s">
        <v>20</v>
      </c>
      <c r="M29" s="38" t="s">
        <v>20</v>
      </c>
      <c r="N29" s="38"/>
      <c r="O29" s="41" t="s">
        <v>20</v>
      </c>
      <c r="P29" s="38"/>
      <c r="Q29" s="41" t="s">
        <v>20</v>
      </c>
      <c r="R29" s="38"/>
      <c r="S29" s="38"/>
      <c r="T29" s="38" t="s">
        <v>20</v>
      </c>
      <c r="U29" s="38"/>
      <c r="V29" s="41" t="s">
        <v>20</v>
      </c>
      <c r="W29" s="38"/>
      <c r="X29" s="40" t="str">
        <f t="shared" si="1"/>
        <v>0,00%</v>
      </c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40" t="str">
        <f t="shared" si="2"/>
        <v>0,00%</v>
      </c>
      <c r="AT29" s="38"/>
      <c r="AU29" s="38"/>
      <c r="AV29" s="38"/>
      <c r="AW29" s="38"/>
      <c r="AX29" s="38"/>
      <c r="AY29" s="38"/>
      <c r="AZ29" s="38"/>
      <c r="BA29" s="40" t="str">
        <f t="shared" si="3"/>
        <v>0,00%</v>
      </c>
      <c r="BB29" s="38"/>
      <c r="BC29" s="38"/>
      <c r="BD29" s="38"/>
      <c r="BE29" s="38"/>
      <c r="BF29" s="38"/>
      <c r="BG29" s="74" t="s">
        <v>18</v>
      </c>
      <c r="BH29" s="38"/>
      <c r="BI29" s="38"/>
      <c r="BJ29" s="38"/>
      <c r="BK29" s="38"/>
      <c r="BL29" s="74" t="s">
        <v>18</v>
      </c>
      <c r="BM29" s="38"/>
      <c r="BN29" s="74" t="s">
        <v>18</v>
      </c>
      <c r="BO29" s="38"/>
      <c r="BP29" s="38"/>
      <c r="BQ29" s="38"/>
      <c r="BR29" s="38"/>
      <c r="BS29" s="38"/>
      <c r="BT29" s="38"/>
      <c r="BU29" s="38"/>
      <c r="BV29" s="38"/>
      <c r="BW29" s="38"/>
      <c r="BX29" s="48" t="str">
        <f t="shared" si="4"/>
        <v>0,00%</v>
      </c>
    </row>
    <row r="30">
      <c r="A30" s="16">
        <v>26.0</v>
      </c>
      <c r="B30" s="46"/>
      <c r="C30" s="63"/>
      <c r="D30" s="29" t="s">
        <v>15</v>
      </c>
      <c r="E30" s="29" t="s">
        <v>15</v>
      </c>
      <c r="F30" s="29" t="s">
        <v>15</v>
      </c>
      <c r="G30" s="29" t="s">
        <v>15</v>
      </c>
      <c r="H30" s="29" t="s">
        <v>15</v>
      </c>
      <c r="I30" s="29" t="s">
        <v>15</v>
      </c>
      <c r="J30" s="29" t="s">
        <v>15</v>
      </c>
      <c r="K30" s="29" t="s">
        <v>15</v>
      </c>
      <c r="L30" s="29" t="s">
        <v>15</v>
      </c>
      <c r="M30" s="29" t="s">
        <v>15</v>
      </c>
      <c r="N30" s="29" t="s">
        <v>15</v>
      </c>
      <c r="O30" s="29" t="s">
        <v>15</v>
      </c>
      <c r="P30" s="29" t="s">
        <v>16</v>
      </c>
      <c r="Q30" s="108" t="s">
        <v>15</v>
      </c>
      <c r="R30" s="108" t="s">
        <v>15</v>
      </c>
      <c r="S30" s="108" t="s">
        <v>15</v>
      </c>
      <c r="T30" s="29" t="s">
        <v>15</v>
      </c>
      <c r="U30" s="108" t="s">
        <v>15</v>
      </c>
      <c r="V30" s="108" t="s">
        <v>15</v>
      </c>
      <c r="W30" s="108" t="s">
        <v>15</v>
      </c>
      <c r="X30" s="34">
        <f t="shared" si="1"/>
        <v>0.95</v>
      </c>
      <c r="Y30" s="29" t="s">
        <v>15</v>
      </c>
      <c r="Z30" s="29" t="s">
        <v>15</v>
      </c>
      <c r="AA30" s="29" t="s">
        <v>15</v>
      </c>
      <c r="AB30" s="29" t="s">
        <v>15</v>
      </c>
      <c r="AC30" s="29" t="s">
        <v>15</v>
      </c>
      <c r="AD30" s="29" t="s">
        <v>15</v>
      </c>
      <c r="AE30" s="29" t="s">
        <v>15</v>
      </c>
      <c r="AF30" s="29" t="s">
        <v>15</v>
      </c>
      <c r="AG30" s="29" t="s">
        <v>16</v>
      </c>
      <c r="AH30" s="29" t="s">
        <v>15</v>
      </c>
      <c r="AI30" s="29" t="s">
        <v>15</v>
      </c>
      <c r="AJ30" s="29" t="s">
        <v>15</v>
      </c>
      <c r="AK30" s="29" t="s">
        <v>16</v>
      </c>
      <c r="AL30" s="29" t="s">
        <v>15</v>
      </c>
      <c r="AM30" s="39" t="s">
        <v>15</v>
      </c>
      <c r="AN30" s="29" t="s">
        <v>15</v>
      </c>
      <c r="AO30" s="29" t="s">
        <v>15</v>
      </c>
      <c r="AP30" s="29" t="s">
        <v>15</v>
      </c>
      <c r="AQ30" s="29" t="s">
        <v>15</v>
      </c>
      <c r="AR30" s="29" t="s">
        <v>15</v>
      </c>
      <c r="AS30" s="34">
        <f t="shared" si="2"/>
        <v>0.9</v>
      </c>
      <c r="AT30" s="29" t="s">
        <v>15</v>
      </c>
      <c r="AU30" s="29" t="s">
        <v>15</v>
      </c>
      <c r="AV30" s="29" t="s">
        <v>15</v>
      </c>
      <c r="AW30" s="29" t="s">
        <v>15</v>
      </c>
      <c r="AX30" s="29" t="s">
        <v>15</v>
      </c>
      <c r="AY30" s="29" t="s">
        <v>15</v>
      </c>
      <c r="AZ30" s="29" t="s">
        <v>16</v>
      </c>
      <c r="BA30" s="34">
        <f t="shared" si="3"/>
        <v>0.8571428571</v>
      </c>
      <c r="BB30" s="29" t="s">
        <v>15</v>
      </c>
      <c r="BC30" s="29" t="s">
        <v>15</v>
      </c>
      <c r="BD30" s="29" t="s">
        <v>15</v>
      </c>
      <c r="BE30" s="29" t="s">
        <v>15</v>
      </c>
      <c r="BF30" s="29" t="s">
        <v>15</v>
      </c>
      <c r="BG30" s="71" t="s">
        <v>15</v>
      </c>
      <c r="BH30" s="29" t="s">
        <v>16</v>
      </c>
      <c r="BI30" s="29" t="s">
        <v>15</v>
      </c>
      <c r="BJ30" s="29" t="s">
        <v>15</v>
      </c>
      <c r="BK30" s="29" t="s">
        <v>15</v>
      </c>
      <c r="BL30" s="65" t="s">
        <v>15</v>
      </c>
      <c r="BM30" s="29" t="s">
        <v>15</v>
      </c>
      <c r="BN30" s="65" t="s">
        <v>15</v>
      </c>
      <c r="BO30" s="29" t="s">
        <v>15</v>
      </c>
      <c r="BP30" s="29" t="s">
        <v>15</v>
      </c>
      <c r="BQ30" s="53"/>
      <c r="BR30" s="53"/>
      <c r="BS30" s="29" t="s">
        <v>15</v>
      </c>
      <c r="BT30" s="53"/>
      <c r="BU30" s="29" t="s">
        <v>15</v>
      </c>
      <c r="BV30" s="29" t="s">
        <v>15</v>
      </c>
      <c r="BW30" s="29" t="s">
        <v>16</v>
      </c>
      <c r="BX30" s="22">
        <f t="shared" si="4"/>
        <v>0.8947368421</v>
      </c>
    </row>
    <row r="31">
      <c r="A31" s="16">
        <v>27.0</v>
      </c>
      <c r="B31" s="114"/>
      <c r="C31" s="113"/>
      <c r="D31" s="29" t="s">
        <v>15</v>
      </c>
      <c r="E31" s="29" t="s">
        <v>15</v>
      </c>
      <c r="F31" s="29" t="s">
        <v>15</v>
      </c>
      <c r="G31" s="29" t="s">
        <v>15</v>
      </c>
      <c r="H31" s="29" t="s">
        <v>15</v>
      </c>
      <c r="I31" s="29" t="s">
        <v>16</v>
      </c>
      <c r="J31" s="29" t="s">
        <v>15</v>
      </c>
      <c r="K31" s="29" t="s">
        <v>15</v>
      </c>
      <c r="L31" s="29" t="s">
        <v>15</v>
      </c>
      <c r="M31" s="29" t="s">
        <v>15</v>
      </c>
      <c r="N31" s="29" t="s">
        <v>15</v>
      </c>
      <c r="O31" s="29" t="s">
        <v>15</v>
      </c>
      <c r="P31" s="29" t="s">
        <v>15</v>
      </c>
      <c r="Q31" s="29" t="s">
        <v>15</v>
      </c>
      <c r="R31" s="29" t="s">
        <v>15</v>
      </c>
      <c r="S31" s="29" t="s">
        <v>15</v>
      </c>
      <c r="T31" s="29" t="s">
        <v>15</v>
      </c>
      <c r="U31" s="29" t="s">
        <v>15</v>
      </c>
      <c r="V31" s="29" t="s">
        <v>15</v>
      </c>
      <c r="W31" s="29" t="s">
        <v>15</v>
      </c>
      <c r="X31" s="34">
        <f t="shared" si="1"/>
        <v>0.95</v>
      </c>
      <c r="Y31" s="29" t="s">
        <v>15</v>
      </c>
      <c r="Z31" s="29" t="s">
        <v>15</v>
      </c>
      <c r="AA31" s="29" t="s">
        <v>15</v>
      </c>
      <c r="AB31" s="29" t="s">
        <v>15</v>
      </c>
      <c r="AC31" s="29" t="s">
        <v>15</v>
      </c>
      <c r="AD31" s="29" t="s">
        <v>15</v>
      </c>
      <c r="AE31" s="29" t="s">
        <v>15</v>
      </c>
      <c r="AF31" s="29" t="s">
        <v>15</v>
      </c>
      <c r="AG31" s="29" t="s">
        <v>15</v>
      </c>
      <c r="AH31" s="29" t="s">
        <v>15</v>
      </c>
      <c r="AI31" s="29" t="s">
        <v>15</v>
      </c>
      <c r="AJ31" s="29" t="s">
        <v>15</v>
      </c>
      <c r="AK31" s="29" t="s">
        <v>15</v>
      </c>
      <c r="AL31" s="29" t="s">
        <v>15</v>
      </c>
      <c r="AM31" s="39" t="s">
        <v>15</v>
      </c>
      <c r="AN31" s="29" t="s">
        <v>16</v>
      </c>
      <c r="AO31" s="29" t="s">
        <v>15</v>
      </c>
      <c r="AP31" s="29" t="s">
        <v>15</v>
      </c>
      <c r="AQ31" s="29" t="s">
        <v>15</v>
      </c>
      <c r="AR31" s="29" t="s">
        <v>15</v>
      </c>
      <c r="AS31" s="34">
        <f t="shared" si="2"/>
        <v>0.95</v>
      </c>
      <c r="AT31" s="29" t="s">
        <v>15</v>
      </c>
      <c r="AU31" s="29" t="s">
        <v>15</v>
      </c>
      <c r="AV31" s="29" t="s">
        <v>15</v>
      </c>
      <c r="AW31" s="29" t="s">
        <v>15</v>
      </c>
      <c r="AX31" s="29" t="s">
        <v>15</v>
      </c>
      <c r="AY31" s="29" t="s">
        <v>15</v>
      </c>
      <c r="AZ31" s="29" t="s">
        <v>15</v>
      </c>
      <c r="BA31" s="34">
        <f t="shared" si="3"/>
        <v>1</v>
      </c>
      <c r="BB31" s="29" t="s">
        <v>15</v>
      </c>
      <c r="BC31" s="29" t="s">
        <v>15</v>
      </c>
      <c r="BD31" s="29" t="s">
        <v>15</v>
      </c>
      <c r="BE31" s="29" t="s">
        <v>15</v>
      </c>
      <c r="BF31" s="29" t="s">
        <v>15</v>
      </c>
      <c r="BG31" s="71" t="s">
        <v>15</v>
      </c>
      <c r="BH31" s="29" t="s">
        <v>15</v>
      </c>
      <c r="BI31" s="29" t="s">
        <v>15</v>
      </c>
      <c r="BJ31" s="29" t="s">
        <v>15</v>
      </c>
      <c r="BK31" s="29" t="s">
        <v>15</v>
      </c>
      <c r="BL31" s="65" t="s">
        <v>15</v>
      </c>
      <c r="BM31" s="29" t="s">
        <v>15</v>
      </c>
      <c r="BN31" s="65" t="s">
        <v>15</v>
      </c>
      <c r="BO31" s="29" t="s">
        <v>15</v>
      </c>
      <c r="BP31" s="29" t="s">
        <v>15</v>
      </c>
      <c r="BQ31" s="53"/>
      <c r="BR31" s="53"/>
      <c r="BS31" s="29" t="s">
        <v>15</v>
      </c>
      <c r="BT31" s="53"/>
      <c r="BU31" s="29" t="s">
        <v>15</v>
      </c>
      <c r="BV31" s="29" t="s">
        <v>15</v>
      </c>
      <c r="BW31" s="29" t="s">
        <v>16</v>
      </c>
      <c r="BX31" s="22">
        <f t="shared" si="4"/>
        <v>0.9473684211</v>
      </c>
    </row>
    <row r="32">
      <c r="A32" s="16">
        <v>28.0</v>
      </c>
      <c r="B32" s="115"/>
      <c r="C32" s="116">
        <v>46231.0</v>
      </c>
      <c r="D32" s="38" t="s">
        <v>20</v>
      </c>
      <c r="E32" s="38" t="s">
        <v>20</v>
      </c>
      <c r="F32" s="38" t="s">
        <v>20</v>
      </c>
      <c r="G32" s="38" t="s">
        <v>20</v>
      </c>
      <c r="H32" s="38" t="s">
        <v>20</v>
      </c>
      <c r="I32" s="38" t="s">
        <v>20</v>
      </c>
      <c r="J32" s="38" t="s">
        <v>20</v>
      </c>
      <c r="K32" s="38" t="s">
        <v>20</v>
      </c>
      <c r="L32" s="38" t="s">
        <v>20</v>
      </c>
      <c r="M32" s="38" t="s">
        <v>20</v>
      </c>
      <c r="N32" s="38" t="s">
        <v>20</v>
      </c>
      <c r="O32" s="38" t="s">
        <v>20</v>
      </c>
      <c r="P32" s="38" t="s">
        <v>20</v>
      </c>
      <c r="Q32" s="38" t="s">
        <v>20</v>
      </c>
      <c r="R32" s="38" t="s">
        <v>20</v>
      </c>
      <c r="S32" s="38" t="s">
        <v>20</v>
      </c>
      <c r="T32" s="38" t="s">
        <v>20</v>
      </c>
      <c r="U32" s="38" t="s">
        <v>20</v>
      </c>
      <c r="V32" s="38" t="s">
        <v>20</v>
      </c>
      <c r="W32" s="38" t="s">
        <v>20</v>
      </c>
      <c r="X32" s="34" t="str">
        <f t="shared" si="1"/>
        <v>0,00%</v>
      </c>
      <c r="Y32" s="38" t="s">
        <v>20</v>
      </c>
      <c r="Z32" s="38" t="s">
        <v>20</v>
      </c>
      <c r="AA32" s="38" t="s">
        <v>20</v>
      </c>
      <c r="AB32" s="38" t="s">
        <v>20</v>
      </c>
      <c r="AC32" s="38" t="s">
        <v>20</v>
      </c>
      <c r="AD32" s="38" t="s">
        <v>20</v>
      </c>
      <c r="AE32" s="38" t="s">
        <v>20</v>
      </c>
      <c r="AF32" s="38" t="s">
        <v>20</v>
      </c>
      <c r="AG32" s="38" t="s">
        <v>20</v>
      </c>
      <c r="AH32" s="38" t="s">
        <v>20</v>
      </c>
      <c r="AI32" s="38" t="s">
        <v>20</v>
      </c>
      <c r="AJ32" s="38" t="s">
        <v>20</v>
      </c>
      <c r="AK32" s="38" t="s">
        <v>20</v>
      </c>
      <c r="AL32" s="38" t="s">
        <v>20</v>
      </c>
      <c r="AM32" s="38" t="s">
        <v>20</v>
      </c>
      <c r="AN32" s="38" t="s">
        <v>20</v>
      </c>
      <c r="AO32" s="38" t="s">
        <v>20</v>
      </c>
      <c r="AP32" s="38" t="s">
        <v>20</v>
      </c>
      <c r="AQ32" s="38" t="s">
        <v>20</v>
      </c>
      <c r="AR32" s="41" t="s">
        <v>20</v>
      </c>
      <c r="AS32" s="34" t="str">
        <f t="shared" si="2"/>
        <v>0,00%</v>
      </c>
      <c r="AT32" s="38" t="s">
        <v>20</v>
      </c>
      <c r="AU32" s="38" t="s">
        <v>20</v>
      </c>
      <c r="AV32" s="38" t="s">
        <v>20</v>
      </c>
      <c r="AW32" s="29" t="s">
        <v>15</v>
      </c>
      <c r="AX32" s="29" t="s">
        <v>15</v>
      </c>
      <c r="AY32" s="41" t="s">
        <v>15</v>
      </c>
      <c r="AZ32" s="29" t="s">
        <v>16</v>
      </c>
      <c r="BA32" s="34">
        <f t="shared" si="3"/>
        <v>0.75</v>
      </c>
      <c r="BB32" s="29" t="s">
        <v>15</v>
      </c>
      <c r="BC32" s="29" t="s">
        <v>16</v>
      </c>
      <c r="BD32" s="29" t="s">
        <v>15</v>
      </c>
      <c r="BE32" s="29" t="s">
        <v>15</v>
      </c>
      <c r="BF32" s="29" t="s">
        <v>15</v>
      </c>
      <c r="BG32" s="85" t="s">
        <v>16</v>
      </c>
      <c r="BH32" s="29" t="s">
        <v>15</v>
      </c>
      <c r="BI32" s="29" t="s">
        <v>15</v>
      </c>
      <c r="BJ32" s="29" t="s">
        <v>16</v>
      </c>
      <c r="BK32" s="29" t="s">
        <v>15</v>
      </c>
      <c r="BL32" s="65" t="s">
        <v>15</v>
      </c>
      <c r="BM32" s="29" t="s">
        <v>15</v>
      </c>
      <c r="BN32" s="65" t="s">
        <v>15</v>
      </c>
      <c r="BO32" s="29" t="s">
        <v>15</v>
      </c>
      <c r="BP32" s="29" t="s">
        <v>15</v>
      </c>
      <c r="BQ32" s="53"/>
      <c r="BR32" s="53"/>
      <c r="BS32" s="29" t="s">
        <v>16</v>
      </c>
      <c r="BT32" s="53"/>
      <c r="BU32" s="29" t="s">
        <v>15</v>
      </c>
      <c r="BV32" s="29" t="s">
        <v>16</v>
      </c>
      <c r="BW32" s="29" t="s">
        <v>16</v>
      </c>
      <c r="BX32" s="22">
        <f t="shared" si="4"/>
        <v>0.6842105263</v>
      </c>
    </row>
    <row r="33">
      <c r="A33" s="6"/>
      <c r="E33" s="96" t="s">
        <v>28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95"/>
    </row>
    <row r="34">
      <c r="A34" s="6"/>
      <c r="E34" s="117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101"/>
    </row>
    <row r="35">
      <c r="A35" s="6"/>
      <c r="E35" s="117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101"/>
    </row>
    <row r="36">
      <c r="A36" s="6"/>
      <c r="E36" s="117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101"/>
    </row>
    <row r="37">
      <c r="A37" s="6"/>
      <c r="E37" s="117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101"/>
    </row>
    <row r="38">
      <c r="A38" s="6"/>
      <c r="E38" s="97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101"/>
    </row>
    <row r="39">
      <c r="A39" s="6"/>
      <c r="E39" s="97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101"/>
    </row>
    <row r="40">
      <c r="A40" s="6"/>
      <c r="E40" s="97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101"/>
    </row>
    <row r="41">
      <c r="A41" s="6"/>
      <c r="E41" s="97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101"/>
    </row>
    <row r="42">
      <c r="A42" s="6"/>
      <c r="E42" s="97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101"/>
    </row>
    <row r="43">
      <c r="A43" s="6"/>
      <c r="E43" s="97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101"/>
    </row>
    <row r="44">
      <c r="E44" s="97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101"/>
    </row>
  </sheetData>
  <mergeCells count="19">
    <mergeCell ref="D1:W3"/>
    <mergeCell ref="AT1:AZ3"/>
    <mergeCell ref="BB1:BW3"/>
    <mergeCell ref="X2:X3"/>
    <mergeCell ref="AS2:AS3"/>
    <mergeCell ref="BA2:BA3"/>
    <mergeCell ref="BX2:BX3"/>
    <mergeCell ref="E40:AS40"/>
    <mergeCell ref="E41:AS41"/>
    <mergeCell ref="E42:AS42"/>
    <mergeCell ref="E43:AS43"/>
    <mergeCell ref="E44:AS44"/>
    <mergeCell ref="Y1:AR3"/>
    <mergeCell ref="E34:AS34"/>
    <mergeCell ref="E35:AS35"/>
    <mergeCell ref="E36:AS36"/>
    <mergeCell ref="E37:AS37"/>
    <mergeCell ref="E38:AS38"/>
    <mergeCell ref="E39:AS39"/>
  </mergeCells>
  <conditionalFormatting sqref="AD15 AH15 AL15:AL16 AJ16:AJ17 AN16 AP16 AR16 AY16 AD18">
    <cfRule type="notContainsBlanks" dxfId="5" priority="1">
      <formula>LEN(TRIM(AD15))&gt;0</formula>
    </cfRule>
  </conditionalFormatting>
  <conditionalFormatting sqref="D5:D33 E5:J37 K5:K33 L5:AE37 AF5:AF33 AG5:BE37 BF5:BW32 BX21">
    <cfRule type="cellIs" dxfId="3" priority="2" operator="equal">
      <formula>"P"</formula>
    </cfRule>
  </conditionalFormatting>
  <conditionalFormatting sqref="D5:D33 E5:J37 K5:K33 L5:AE37 AF5:AF33 AG5:BE37 BF5:BW32 BX21">
    <cfRule type="cellIs" dxfId="4" priority="3" operator="equal">
      <formula>"F"</formula>
    </cfRule>
  </conditionalFormatting>
  <dataValidations>
    <dataValidation type="list" allowBlank="1" showDropDown="1" sqref="AM7 AM9:AM10 AM12 AM14 AM17:AM18 AM21:AM28 AM30:AM31">
      <formula1>"-,P,F"</formula1>
    </dataValidation>
    <dataValidation type="custom" allowBlank="1" showDropDown="1" sqref="B7 C8 B9 C10 B16 B19 B22:B23 B29">
      <formula1>OR(NOT(ISERROR(DATEVALUE(B7))), AND(ISNUMBER(B7), LEFT(CELL("format", B7))="D"))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9"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4.0"/>
    <col customWidth="1" min="2" max="2" width="36.0"/>
    <col customWidth="1" min="3" max="3" width="16.13"/>
    <col customWidth="1" min="4" max="23" width="2.63"/>
    <col customWidth="1" min="24" max="24" width="7.75"/>
    <col customWidth="1" min="25" max="44" width="2.63"/>
    <col customWidth="1" min="45" max="45" width="7.13"/>
    <col customWidth="1" min="46" max="52" width="2.63"/>
    <col customWidth="1" min="53" max="53" width="7.25"/>
    <col customWidth="1" min="54" max="75" width="2.63"/>
    <col customWidth="1" min="76" max="76" width="8.25"/>
    <col customWidth="1" min="77" max="95" width="2.63"/>
  </cols>
  <sheetData>
    <row r="1">
      <c r="A1" s="1" t="s">
        <v>0</v>
      </c>
      <c r="B1" s="1"/>
      <c r="C1" s="1"/>
      <c r="D1" s="2" t="s">
        <v>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 t="s">
        <v>2</v>
      </c>
      <c r="Y1" s="2" t="s">
        <v>7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4"/>
      <c r="AS1" s="5" t="s">
        <v>2</v>
      </c>
      <c r="AT1" s="2" t="s">
        <v>8</v>
      </c>
      <c r="AU1" s="3"/>
      <c r="AV1" s="3"/>
      <c r="AW1" s="3"/>
      <c r="AX1" s="3"/>
      <c r="AY1" s="3"/>
      <c r="AZ1" s="4"/>
      <c r="BA1" s="5" t="s">
        <v>2</v>
      </c>
      <c r="BB1" s="2" t="s">
        <v>9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4"/>
      <c r="BX1" s="5" t="s">
        <v>2</v>
      </c>
    </row>
    <row r="2">
      <c r="C2" s="6"/>
      <c r="D2" s="7"/>
      <c r="W2" s="8"/>
      <c r="X2" s="9">
        <f>COUNT(D4:Q4)</f>
        <v>14</v>
      </c>
      <c r="Y2" s="7"/>
      <c r="AR2" s="8"/>
      <c r="AS2" s="9">
        <f>COUNT(Y4:AR4)</f>
        <v>20</v>
      </c>
      <c r="AT2" s="7"/>
      <c r="AZ2" s="8"/>
      <c r="BA2" s="9">
        <f>COUNT(AT4:AZ4)</f>
        <v>7</v>
      </c>
      <c r="BB2" s="7"/>
      <c r="BW2" s="8"/>
      <c r="BX2" s="9">
        <f>COUNT(BB4:BQ4)</f>
        <v>16</v>
      </c>
    </row>
    <row r="3">
      <c r="C3" s="6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4"/>
      <c r="X3" s="15"/>
      <c r="Y3" s="12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4"/>
      <c r="AS3" s="15"/>
      <c r="AT3" s="12"/>
      <c r="AU3" s="13"/>
      <c r="AV3" s="13"/>
      <c r="AW3" s="13"/>
      <c r="AX3" s="13"/>
      <c r="AY3" s="13"/>
      <c r="AZ3" s="14"/>
      <c r="BA3" s="15"/>
      <c r="BB3" s="12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4"/>
      <c r="BX3" s="15"/>
    </row>
    <row r="4">
      <c r="A4" s="16" t="s">
        <v>10</v>
      </c>
      <c r="B4" s="17" t="s">
        <v>11</v>
      </c>
      <c r="C4" s="16" t="s">
        <v>14</v>
      </c>
      <c r="D4" s="18">
        <v>4.0</v>
      </c>
      <c r="E4" s="18">
        <v>5.0</v>
      </c>
      <c r="F4" s="18">
        <v>6.0</v>
      </c>
      <c r="G4" s="18">
        <v>7.0</v>
      </c>
      <c r="H4" s="18">
        <v>8.0</v>
      </c>
      <c r="I4" s="18">
        <v>11.0</v>
      </c>
      <c r="J4" s="18">
        <v>12.0</v>
      </c>
      <c r="K4" s="18">
        <v>13.0</v>
      </c>
      <c r="L4" s="18">
        <v>14.0</v>
      </c>
      <c r="M4" s="18">
        <v>15.0</v>
      </c>
      <c r="N4" s="18">
        <v>18.0</v>
      </c>
      <c r="O4" s="18">
        <v>19.0</v>
      </c>
      <c r="P4" s="18">
        <v>20.0</v>
      </c>
      <c r="Q4" s="18">
        <v>21.0</v>
      </c>
      <c r="R4" s="18">
        <v>22.0</v>
      </c>
      <c r="S4" s="18">
        <v>25.0</v>
      </c>
      <c r="T4" s="18">
        <v>26.0</v>
      </c>
      <c r="U4" s="18">
        <v>27.0</v>
      </c>
      <c r="V4" s="18">
        <v>28.0</v>
      </c>
      <c r="W4" s="18">
        <v>29.0</v>
      </c>
      <c r="X4" s="19" t="s">
        <v>13</v>
      </c>
      <c r="Y4" s="18">
        <v>1.0</v>
      </c>
      <c r="Z4" s="18">
        <v>2.0</v>
      </c>
      <c r="AA4" s="18">
        <v>3.0</v>
      </c>
      <c r="AB4" s="18">
        <v>8.0</v>
      </c>
      <c r="AC4" s="18">
        <v>9.0</v>
      </c>
      <c r="AD4" s="18">
        <v>10.0</v>
      </c>
      <c r="AE4" s="18">
        <v>11.0</v>
      </c>
      <c r="AF4" s="18">
        <v>12.0</v>
      </c>
      <c r="AG4" s="18">
        <v>15.0</v>
      </c>
      <c r="AH4" s="18">
        <v>16.0</v>
      </c>
      <c r="AI4" s="18">
        <v>17.0</v>
      </c>
      <c r="AJ4" s="18">
        <v>18.0</v>
      </c>
      <c r="AK4" s="18">
        <v>19.0</v>
      </c>
      <c r="AL4" s="18">
        <v>22.0</v>
      </c>
      <c r="AM4" s="18">
        <v>23.0</v>
      </c>
      <c r="AN4" s="18">
        <v>24.0</v>
      </c>
      <c r="AO4" s="18">
        <v>25.0</v>
      </c>
      <c r="AP4" s="18">
        <v>26.0</v>
      </c>
      <c r="AQ4" s="18">
        <v>29.0</v>
      </c>
      <c r="AR4" s="18">
        <v>30.0</v>
      </c>
      <c r="AS4" s="19" t="s">
        <v>13</v>
      </c>
      <c r="AT4" s="18">
        <v>1.0</v>
      </c>
      <c r="AU4" s="18">
        <v>2.0</v>
      </c>
      <c r="AV4" s="18">
        <v>3.0</v>
      </c>
      <c r="AW4" s="18">
        <v>28.0</v>
      </c>
      <c r="AX4" s="18">
        <v>29.0</v>
      </c>
      <c r="AY4" s="18">
        <v>30.0</v>
      </c>
      <c r="AZ4" s="18">
        <v>31.0</v>
      </c>
      <c r="BA4" s="19" t="s">
        <v>13</v>
      </c>
      <c r="BB4" s="18">
        <v>3.0</v>
      </c>
      <c r="BC4" s="18">
        <v>4.0</v>
      </c>
      <c r="BD4" s="18">
        <v>5.0</v>
      </c>
      <c r="BE4" s="18">
        <v>6.0</v>
      </c>
      <c r="BF4" s="18">
        <v>7.0</v>
      </c>
      <c r="BG4" s="18">
        <v>10.0</v>
      </c>
      <c r="BH4" s="18">
        <v>11.0</v>
      </c>
      <c r="BI4" s="18">
        <v>12.0</v>
      </c>
      <c r="BJ4" s="18">
        <v>13.0</v>
      </c>
      <c r="BK4" s="18">
        <v>14.0</v>
      </c>
      <c r="BL4" s="18">
        <v>17.0</v>
      </c>
      <c r="BM4" s="18">
        <v>18.0</v>
      </c>
      <c r="BN4" s="18">
        <v>19.0</v>
      </c>
      <c r="BO4" s="18">
        <v>20.0</v>
      </c>
      <c r="BP4" s="18">
        <v>21.0</v>
      </c>
      <c r="BQ4" s="18">
        <v>22.0</v>
      </c>
      <c r="BR4" s="18">
        <v>24.0</v>
      </c>
      <c r="BS4" s="18">
        <v>25.0</v>
      </c>
      <c r="BT4" s="18">
        <v>26.0</v>
      </c>
      <c r="BU4" s="18">
        <v>27.0</v>
      </c>
      <c r="BV4" s="18">
        <v>28.0</v>
      </c>
      <c r="BW4" s="18">
        <v>31.0</v>
      </c>
      <c r="BX4" s="19" t="s">
        <v>13</v>
      </c>
    </row>
    <row r="5">
      <c r="A5" s="24">
        <v>1.0</v>
      </c>
      <c r="B5" s="46"/>
      <c r="C5" s="26"/>
      <c r="D5" s="72" t="s">
        <v>15</v>
      </c>
      <c r="E5" s="136" t="s">
        <v>15</v>
      </c>
      <c r="F5" s="136" t="s">
        <v>15</v>
      </c>
      <c r="G5" s="59" t="s">
        <v>15</v>
      </c>
      <c r="H5" s="136" t="s">
        <v>15</v>
      </c>
      <c r="I5" s="59" t="s">
        <v>15</v>
      </c>
      <c r="J5" s="59" t="s">
        <v>15</v>
      </c>
      <c r="K5" s="59" t="s">
        <v>15</v>
      </c>
      <c r="L5" s="136" t="s">
        <v>15</v>
      </c>
      <c r="M5" s="59" t="s">
        <v>15</v>
      </c>
      <c r="N5" s="59" t="s">
        <v>15</v>
      </c>
      <c r="O5" s="59" t="s">
        <v>15</v>
      </c>
      <c r="P5" s="59" t="s">
        <v>15</v>
      </c>
      <c r="Q5" s="59" t="s">
        <v>15</v>
      </c>
      <c r="R5" s="59" t="s">
        <v>15</v>
      </c>
      <c r="S5" s="59" t="s">
        <v>15</v>
      </c>
      <c r="T5" s="59" t="s">
        <v>15</v>
      </c>
      <c r="U5" s="59" t="s">
        <v>16</v>
      </c>
      <c r="V5" s="59" t="s">
        <v>15</v>
      </c>
      <c r="W5" s="59" t="s">
        <v>15</v>
      </c>
      <c r="X5" s="138">
        <f t="shared" ref="X5:X31" si="1">IFERROR(COUNTIF(D5:W5,"P")/(COUNTIF(D5:W5,"P")+COUNTIF(D5:W5,"F")), "0,00%")</f>
        <v>0.95</v>
      </c>
      <c r="Y5" s="59" t="s">
        <v>15</v>
      </c>
      <c r="Z5" s="136" t="s">
        <v>15</v>
      </c>
      <c r="AA5" s="59" t="s">
        <v>16</v>
      </c>
      <c r="AB5" s="136" t="s">
        <v>15</v>
      </c>
      <c r="AC5" s="59" t="s">
        <v>16</v>
      </c>
      <c r="AD5" s="59" t="s">
        <v>15</v>
      </c>
      <c r="AE5" s="59" t="s">
        <v>15</v>
      </c>
      <c r="AF5" s="59" t="s">
        <v>15</v>
      </c>
      <c r="AG5" s="59" t="s">
        <v>15</v>
      </c>
      <c r="AH5" s="59" t="s">
        <v>15</v>
      </c>
      <c r="AI5" s="59" t="s">
        <v>15</v>
      </c>
      <c r="AJ5" s="59" t="s">
        <v>15</v>
      </c>
      <c r="AK5" s="59" t="s">
        <v>15</v>
      </c>
      <c r="AL5" s="59" t="s">
        <v>16</v>
      </c>
      <c r="AM5" s="59" t="s">
        <v>16</v>
      </c>
      <c r="AN5" s="59" t="s">
        <v>15</v>
      </c>
      <c r="AO5" s="59" t="s">
        <v>16</v>
      </c>
      <c r="AP5" s="59" t="s">
        <v>15</v>
      </c>
      <c r="AQ5" s="59" t="s">
        <v>15</v>
      </c>
      <c r="AR5" s="59" t="s">
        <v>16</v>
      </c>
      <c r="AS5" s="139">
        <f t="shared" ref="AS5:AS31" si="2">IFERROR(COUNTIF(Y5:AR5,"P")/(COUNTIF(Y5:AR5,"P")+COUNTIF(Y5:AR5,"F")), "0,00%")</f>
        <v>0.7</v>
      </c>
      <c r="AT5" s="59" t="s">
        <v>15</v>
      </c>
      <c r="AU5" s="59" t="s">
        <v>15</v>
      </c>
      <c r="AV5" s="59" t="s">
        <v>15</v>
      </c>
      <c r="AW5" s="59" t="s">
        <v>16</v>
      </c>
      <c r="AX5" s="59" t="s">
        <v>15</v>
      </c>
      <c r="AY5" s="59" t="s">
        <v>16</v>
      </c>
      <c r="AZ5" s="59" t="s">
        <v>16</v>
      </c>
      <c r="BA5" s="139">
        <f t="shared" ref="BA5:BA31" si="3">IFERROR(COUNTIF(AT5:AZ5,"P")/(COUNTIF(AT5:AZ5,"P")+COUNTIF(AT5:AZ5,"F")), "0,00%")</f>
        <v>0.5714285714</v>
      </c>
      <c r="BB5" s="59" t="s">
        <v>15</v>
      </c>
      <c r="BC5" s="140" t="s">
        <v>15</v>
      </c>
      <c r="BD5" s="140" t="s">
        <v>16</v>
      </c>
      <c r="BE5" s="140" t="s">
        <v>15</v>
      </c>
      <c r="BF5" s="140" t="s">
        <v>15</v>
      </c>
      <c r="BG5" s="140" t="s">
        <v>15</v>
      </c>
      <c r="BH5" s="140" t="s">
        <v>15</v>
      </c>
      <c r="BI5" s="140" t="s">
        <v>15</v>
      </c>
      <c r="BJ5" s="140" t="s">
        <v>15</v>
      </c>
      <c r="BK5" s="140" t="s">
        <v>15</v>
      </c>
      <c r="BL5" s="140" t="s">
        <v>15</v>
      </c>
      <c r="BM5" s="140" t="s">
        <v>15</v>
      </c>
      <c r="BN5" s="43" t="s">
        <v>15</v>
      </c>
      <c r="BO5" s="140" t="s">
        <v>15</v>
      </c>
      <c r="BP5" s="140" t="s">
        <v>15</v>
      </c>
      <c r="BQ5" s="140" t="s">
        <v>15</v>
      </c>
      <c r="BR5" s="140" t="s">
        <v>15</v>
      </c>
      <c r="BS5" s="140" t="s">
        <v>15</v>
      </c>
      <c r="BT5" s="140" t="s">
        <v>15</v>
      </c>
      <c r="BU5" s="140" t="s">
        <v>15</v>
      </c>
      <c r="BV5" s="140" t="s">
        <v>15</v>
      </c>
      <c r="BW5" s="141" t="s">
        <v>16</v>
      </c>
      <c r="BX5" s="22">
        <f t="shared" ref="BX5:BX31" si="4">IFERROR(COUNTIF(BB5:BW5,"P")/(COUNTIF(BB5:BW5,"P")+COUNTIF(BB5:BW5,"F")), "0,00%")</f>
        <v>0.9090909091</v>
      </c>
    </row>
    <row r="6">
      <c r="A6" s="24">
        <v>2.0</v>
      </c>
      <c r="B6" s="121"/>
      <c r="C6" s="26"/>
      <c r="D6" s="59" t="s">
        <v>15</v>
      </c>
      <c r="E6" s="136" t="s">
        <v>15</v>
      </c>
      <c r="F6" s="142" t="s">
        <v>15</v>
      </c>
      <c r="G6" s="59" t="s">
        <v>15</v>
      </c>
      <c r="H6" s="136" t="s">
        <v>15</v>
      </c>
      <c r="I6" s="59" t="s">
        <v>15</v>
      </c>
      <c r="J6" s="59" t="s">
        <v>15</v>
      </c>
      <c r="K6" s="59" t="s">
        <v>15</v>
      </c>
      <c r="L6" s="136" t="s">
        <v>15</v>
      </c>
      <c r="M6" s="59" t="s">
        <v>15</v>
      </c>
      <c r="N6" s="59" t="s">
        <v>15</v>
      </c>
      <c r="O6" s="59" t="s">
        <v>15</v>
      </c>
      <c r="P6" s="59" t="s">
        <v>15</v>
      </c>
      <c r="Q6" s="59" t="s">
        <v>15</v>
      </c>
      <c r="R6" s="59" t="s">
        <v>16</v>
      </c>
      <c r="S6" s="59" t="s">
        <v>15</v>
      </c>
      <c r="T6" s="59" t="s">
        <v>15</v>
      </c>
      <c r="U6" s="59" t="s">
        <v>15</v>
      </c>
      <c r="V6" s="59" t="s">
        <v>15</v>
      </c>
      <c r="W6" s="59" t="s">
        <v>15</v>
      </c>
      <c r="X6" s="138">
        <f t="shared" si="1"/>
        <v>0.95</v>
      </c>
      <c r="Y6" s="59" t="s">
        <v>15</v>
      </c>
      <c r="Z6" s="136" t="s">
        <v>15</v>
      </c>
      <c r="AA6" s="59" t="s">
        <v>15</v>
      </c>
      <c r="AB6" s="136" t="s">
        <v>15</v>
      </c>
      <c r="AC6" s="59" t="s">
        <v>15</v>
      </c>
      <c r="AD6" s="59" t="s">
        <v>15</v>
      </c>
      <c r="AE6" s="59" t="s">
        <v>15</v>
      </c>
      <c r="AF6" s="59" t="s">
        <v>15</v>
      </c>
      <c r="AG6" s="59" t="s">
        <v>15</v>
      </c>
      <c r="AH6" s="59" t="s">
        <v>15</v>
      </c>
      <c r="AI6" s="59" t="s">
        <v>15</v>
      </c>
      <c r="AJ6" s="59" t="s">
        <v>15</v>
      </c>
      <c r="AK6" s="59" t="s">
        <v>15</v>
      </c>
      <c r="AL6" s="59" t="s">
        <v>15</v>
      </c>
      <c r="AM6" s="143" t="s">
        <v>15</v>
      </c>
      <c r="AN6" s="59" t="s">
        <v>16</v>
      </c>
      <c r="AO6" s="59" t="s">
        <v>15</v>
      </c>
      <c r="AP6" s="59" t="s">
        <v>15</v>
      </c>
      <c r="AQ6" s="59" t="s">
        <v>15</v>
      </c>
      <c r="AR6" s="59" t="s">
        <v>16</v>
      </c>
      <c r="AS6" s="139">
        <f t="shared" si="2"/>
        <v>0.9</v>
      </c>
      <c r="AT6" s="59" t="s">
        <v>15</v>
      </c>
      <c r="AU6" s="59" t="s">
        <v>15</v>
      </c>
      <c r="AV6" s="59" t="s">
        <v>15</v>
      </c>
      <c r="AW6" s="59" t="s">
        <v>15</v>
      </c>
      <c r="AX6" s="59" t="s">
        <v>15</v>
      </c>
      <c r="AY6" s="59" t="s">
        <v>15</v>
      </c>
      <c r="AZ6" s="59" t="s">
        <v>15</v>
      </c>
      <c r="BA6" s="139">
        <f t="shared" si="3"/>
        <v>1</v>
      </c>
      <c r="BB6" s="59" t="s">
        <v>15</v>
      </c>
      <c r="BC6" s="140" t="s">
        <v>15</v>
      </c>
      <c r="BD6" s="140" t="s">
        <v>15</v>
      </c>
      <c r="BE6" s="140" t="s">
        <v>15</v>
      </c>
      <c r="BF6" s="140" t="s">
        <v>15</v>
      </c>
      <c r="BG6" s="140" t="s">
        <v>15</v>
      </c>
      <c r="BH6" s="140" t="s">
        <v>15</v>
      </c>
      <c r="BI6" s="140" t="s">
        <v>15</v>
      </c>
      <c r="BJ6" s="140" t="s">
        <v>15</v>
      </c>
      <c r="BK6" s="140" t="s">
        <v>15</v>
      </c>
      <c r="BL6" s="140" t="s">
        <v>15</v>
      </c>
      <c r="BM6" s="140" t="s">
        <v>16</v>
      </c>
      <c r="BN6" s="65" t="s">
        <v>15</v>
      </c>
      <c r="BO6" s="140" t="s">
        <v>15</v>
      </c>
      <c r="BP6" s="140" t="s">
        <v>15</v>
      </c>
      <c r="BQ6" s="140" t="s">
        <v>15</v>
      </c>
      <c r="BR6" s="140" t="s">
        <v>15</v>
      </c>
      <c r="BS6" s="140" t="s">
        <v>15</v>
      </c>
      <c r="BT6" s="140" t="s">
        <v>15</v>
      </c>
      <c r="BU6" s="140" t="s">
        <v>15</v>
      </c>
      <c r="BV6" s="140" t="s">
        <v>15</v>
      </c>
      <c r="BW6" s="54" t="s">
        <v>15</v>
      </c>
      <c r="BX6" s="22">
        <f t="shared" si="4"/>
        <v>0.9545454545</v>
      </c>
    </row>
    <row r="7">
      <c r="A7" s="24">
        <v>3.0</v>
      </c>
      <c r="B7" s="62"/>
      <c r="C7" s="58"/>
      <c r="D7" s="80" t="s">
        <v>15</v>
      </c>
      <c r="E7" s="70" t="s">
        <v>16</v>
      </c>
      <c r="F7" s="142" t="s">
        <v>15</v>
      </c>
      <c r="G7" s="59" t="s">
        <v>15</v>
      </c>
      <c r="H7" s="136" t="s">
        <v>15</v>
      </c>
      <c r="I7" s="59" t="s">
        <v>15</v>
      </c>
      <c r="J7" s="59" t="s">
        <v>15</v>
      </c>
      <c r="K7" s="59" t="s">
        <v>15</v>
      </c>
      <c r="L7" s="136" t="s">
        <v>15</v>
      </c>
      <c r="M7" s="59" t="s">
        <v>15</v>
      </c>
      <c r="N7" s="59" t="s">
        <v>15</v>
      </c>
      <c r="O7" s="59" t="s">
        <v>15</v>
      </c>
      <c r="P7" s="59" t="s">
        <v>15</v>
      </c>
      <c r="Q7" s="59" t="s">
        <v>15</v>
      </c>
      <c r="R7" s="59" t="s">
        <v>15</v>
      </c>
      <c r="S7" s="59" t="s">
        <v>15</v>
      </c>
      <c r="T7" s="59" t="s">
        <v>15</v>
      </c>
      <c r="U7" s="59" t="s">
        <v>15</v>
      </c>
      <c r="V7" s="59" t="s">
        <v>15</v>
      </c>
      <c r="W7" s="59" t="s">
        <v>15</v>
      </c>
      <c r="X7" s="138">
        <f t="shared" si="1"/>
        <v>0.95</v>
      </c>
      <c r="Y7" s="59" t="s">
        <v>15</v>
      </c>
      <c r="Z7" s="136" t="s">
        <v>15</v>
      </c>
      <c r="AA7" s="59" t="s">
        <v>16</v>
      </c>
      <c r="AB7" s="136" t="s">
        <v>15</v>
      </c>
      <c r="AC7" s="59" t="s">
        <v>15</v>
      </c>
      <c r="AD7" s="59" t="s">
        <v>15</v>
      </c>
      <c r="AE7" s="59" t="s">
        <v>15</v>
      </c>
      <c r="AF7" s="59" t="s">
        <v>15</v>
      </c>
      <c r="AG7" s="59" t="s">
        <v>15</v>
      </c>
      <c r="AH7" s="59" t="s">
        <v>15</v>
      </c>
      <c r="AI7" s="59" t="s">
        <v>15</v>
      </c>
      <c r="AJ7" s="59" t="s">
        <v>15</v>
      </c>
      <c r="AK7" s="59" t="s">
        <v>16</v>
      </c>
      <c r="AL7" s="59" t="s">
        <v>15</v>
      </c>
      <c r="AM7" s="143" t="s">
        <v>15</v>
      </c>
      <c r="AN7" s="59" t="s">
        <v>15</v>
      </c>
      <c r="AO7" s="59" t="s">
        <v>15</v>
      </c>
      <c r="AP7" s="59" t="s">
        <v>15</v>
      </c>
      <c r="AQ7" s="59" t="s">
        <v>16</v>
      </c>
      <c r="AR7" s="59" t="s">
        <v>15</v>
      </c>
      <c r="AS7" s="139">
        <f t="shared" si="2"/>
        <v>0.85</v>
      </c>
      <c r="AT7" s="59" t="s">
        <v>15</v>
      </c>
      <c r="AU7" s="59" t="s">
        <v>16</v>
      </c>
      <c r="AV7" s="59" t="s">
        <v>15</v>
      </c>
      <c r="AW7" s="59" t="s">
        <v>15</v>
      </c>
      <c r="AX7" s="59" t="s">
        <v>15</v>
      </c>
      <c r="AY7" s="59" t="s">
        <v>16</v>
      </c>
      <c r="AZ7" s="59" t="s">
        <v>16</v>
      </c>
      <c r="BA7" s="139">
        <f t="shared" si="3"/>
        <v>0.5714285714</v>
      </c>
      <c r="BB7" s="59" t="s">
        <v>15</v>
      </c>
      <c r="BC7" s="140" t="s">
        <v>15</v>
      </c>
      <c r="BD7" s="140" t="s">
        <v>16</v>
      </c>
      <c r="BE7" s="140" t="s">
        <v>15</v>
      </c>
      <c r="BF7" s="140" t="s">
        <v>15</v>
      </c>
      <c r="BG7" s="140" t="s">
        <v>15</v>
      </c>
      <c r="BH7" s="140" t="s">
        <v>15</v>
      </c>
      <c r="BI7" s="140" t="s">
        <v>16</v>
      </c>
      <c r="BJ7" s="140" t="s">
        <v>15</v>
      </c>
      <c r="BK7" s="140" t="s">
        <v>16</v>
      </c>
      <c r="BL7" s="140" t="s">
        <v>15</v>
      </c>
      <c r="BM7" s="140" t="s">
        <v>15</v>
      </c>
      <c r="BN7" s="65" t="s">
        <v>15</v>
      </c>
      <c r="BO7" s="140" t="s">
        <v>15</v>
      </c>
      <c r="BP7" s="140" t="s">
        <v>15</v>
      </c>
      <c r="BQ7" s="140" t="s">
        <v>15</v>
      </c>
      <c r="BR7" s="140" t="s">
        <v>15</v>
      </c>
      <c r="BS7" s="140" t="s">
        <v>15</v>
      </c>
      <c r="BT7" s="140" t="s">
        <v>15</v>
      </c>
      <c r="BU7" s="140" t="s">
        <v>15</v>
      </c>
      <c r="BV7" s="140" t="s">
        <v>16</v>
      </c>
      <c r="BW7" s="54" t="s">
        <v>15</v>
      </c>
      <c r="BX7" s="22">
        <f t="shared" si="4"/>
        <v>0.8181818182</v>
      </c>
    </row>
    <row r="8">
      <c r="A8" s="24">
        <v>4.0</v>
      </c>
      <c r="B8" s="121"/>
      <c r="C8" s="58"/>
      <c r="D8" s="80" t="s">
        <v>15</v>
      </c>
      <c r="E8" s="70" t="s">
        <v>16</v>
      </c>
      <c r="F8" s="144" t="s">
        <v>16</v>
      </c>
      <c r="G8" s="59" t="s">
        <v>15</v>
      </c>
      <c r="H8" s="136" t="s">
        <v>15</v>
      </c>
      <c r="I8" s="59" t="s">
        <v>15</v>
      </c>
      <c r="J8" s="59" t="s">
        <v>15</v>
      </c>
      <c r="K8" s="59" t="s">
        <v>15</v>
      </c>
      <c r="L8" s="145" t="s">
        <v>16</v>
      </c>
      <c r="M8" s="59" t="s">
        <v>15</v>
      </c>
      <c r="N8" s="59" t="s">
        <v>15</v>
      </c>
      <c r="O8" s="59" t="s">
        <v>15</v>
      </c>
      <c r="P8" s="59" t="s">
        <v>15</v>
      </c>
      <c r="Q8" s="59" t="s">
        <v>15</v>
      </c>
      <c r="R8" s="59" t="s">
        <v>15</v>
      </c>
      <c r="S8" s="59" t="s">
        <v>15</v>
      </c>
      <c r="T8" s="146" t="s">
        <v>16</v>
      </c>
      <c r="U8" s="59" t="s">
        <v>15</v>
      </c>
      <c r="V8" s="59" t="s">
        <v>15</v>
      </c>
      <c r="W8" s="59" t="s">
        <v>15</v>
      </c>
      <c r="X8" s="138">
        <f t="shared" si="1"/>
        <v>0.8</v>
      </c>
      <c r="Y8" s="59" t="s">
        <v>15</v>
      </c>
      <c r="Z8" s="136" t="s">
        <v>15</v>
      </c>
      <c r="AA8" s="59" t="s">
        <v>15</v>
      </c>
      <c r="AB8" s="136" t="s">
        <v>15</v>
      </c>
      <c r="AC8" s="59" t="s">
        <v>15</v>
      </c>
      <c r="AD8" s="59" t="s">
        <v>15</v>
      </c>
      <c r="AE8" s="59" t="s">
        <v>15</v>
      </c>
      <c r="AF8" s="59" t="s">
        <v>15</v>
      </c>
      <c r="AG8" s="59" t="s">
        <v>15</v>
      </c>
      <c r="AH8" s="59" t="s">
        <v>15</v>
      </c>
      <c r="AI8" s="59" t="s">
        <v>15</v>
      </c>
      <c r="AJ8" s="59" t="s">
        <v>16</v>
      </c>
      <c r="AK8" s="59" t="s">
        <v>15</v>
      </c>
      <c r="AL8" s="59" t="s">
        <v>15</v>
      </c>
      <c r="AM8" s="143" t="s">
        <v>15</v>
      </c>
      <c r="AN8" s="59" t="s">
        <v>16</v>
      </c>
      <c r="AO8" s="59" t="s">
        <v>15</v>
      </c>
      <c r="AP8" s="59" t="s">
        <v>16</v>
      </c>
      <c r="AQ8" s="59" t="s">
        <v>15</v>
      </c>
      <c r="AR8" s="59" t="s">
        <v>15</v>
      </c>
      <c r="AS8" s="139">
        <f t="shared" si="2"/>
        <v>0.85</v>
      </c>
      <c r="AT8" s="59" t="s">
        <v>15</v>
      </c>
      <c r="AU8" s="59" t="s">
        <v>15</v>
      </c>
      <c r="AV8" s="59" t="s">
        <v>15</v>
      </c>
      <c r="AW8" s="59" t="s">
        <v>15</v>
      </c>
      <c r="AX8" s="59" t="s">
        <v>15</v>
      </c>
      <c r="AY8" s="59" t="s">
        <v>15</v>
      </c>
      <c r="AZ8" s="59" t="s">
        <v>15</v>
      </c>
      <c r="BA8" s="139">
        <f t="shared" si="3"/>
        <v>1</v>
      </c>
      <c r="BB8" s="59" t="s">
        <v>15</v>
      </c>
      <c r="BC8" s="140" t="s">
        <v>15</v>
      </c>
      <c r="BD8" s="140" t="s">
        <v>15</v>
      </c>
      <c r="BE8" s="140" t="s">
        <v>15</v>
      </c>
      <c r="BF8" s="140" t="s">
        <v>15</v>
      </c>
      <c r="BG8" s="140" t="s">
        <v>15</v>
      </c>
      <c r="BH8" s="140" t="s">
        <v>15</v>
      </c>
      <c r="BI8" s="140" t="s">
        <v>15</v>
      </c>
      <c r="BJ8" s="140" t="s">
        <v>15</v>
      </c>
      <c r="BK8" s="140" t="s">
        <v>15</v>
      </c>
      <c r="BL8" s="140" t="s">
        <v>15</v>
      </c>
      <c r="BM8" s="140" t="s">
        <v>15</v>
      </c>
      <c r="BN8" s="65" t="s">
        <v>15</v>
      </c>
      <c r="BO8" s="140" t="s">
        <v>15</v>
      </c>
      <c r="BP8" s="140" t="s">
        <v>15</v>
      </c>
      <c r="BQ8" s="140" t="s">
        <v>15</v>
      </c>
      <c r="BR8" s="140" t="s">
        <v>15</v>
      </c>
      <c r="BS8" s="140" t="s">
        <v>15</v>
      </c>
      <c r="BT8" s="140" t="s">
        <v>15</v>
      </c>
      <c r="BU8" s="140" t="s">
        <v>15</v>
      </c>
      <c r="BV8" s="140" t="s">
        <v>15</v>
      </c>
      <c r="BW8" s="54" t="s">
        <v>15</v>
      </c>
      <c r="BX8" s="22">
        <f t="shared" si="4"/>
        <v>1</v>
      </c>
    </row>
    <row r="9">
      <c r="A9" s="24">
        <v>5.0</v>
      </c>
      <c r="B9" s="62"/>
      <c r="C9" s="58"/>
      <c r="D9" s="80" t="s">
        <v>15</v>
      </c>
      <c r="E9" s="136" t="s">
        <v>15</v>
      </c>
      <c r="F9" s="144" t="s">
        <v>16</v>
      </c>
      <c r="G9" s="59" t="s">
        <v>15</v>
      </c>
      <c r="H9" s="136" t="s">
        <v>15</v>
      </c>
      <c r="I9" s="59" t="s">
        <v>15</v>
      </c>
      <c r="J9" s="59" t="s">
        <v>15</v>
      </c>
      <c r="K9" s="59" t="s">
        <v>15</v>
      </c>
      <c r="L9" s="136" t="s">
        <v>15</v>
      </c>
      <c r="M9" s="59" t="s">
        <v>16</v>
      </c>
      <c r="N9" s="59" t="s">
        <v>15</v>
      </c>
      <c r="O9" s="59" t="s">
        <v>15</v>
      </c>
      <c r="P9" s="59" t="s">
        <v>15</v>
      </c>
      <c r="Q9" s="59" t="s">
        <v>15</v>
      </c>
      <c r="R9" s="59" t="s">
        <v>16</v>
      </c>
      <c r="S9" s="59" t="s">
        <v>15</v>
      </c>
      <c r="T9" s="146" t="s">
        <v>16</v>
      </c>
      <c r="U9" s="59" t="s">
        <v>15</v>
      </c>
      <c r="V9" s="59" t="s">
        <v>15</v>
      </c>
      <c r="W9" s="59" t="s">
        <v>15</v>
      </c>
      <c r="X9" s="138">
        <f t="shared" si="1"/>
        <v>0.8</v>
      </c>
      <c r="Y9" s="59" t="s">
        <v>15</v>
      </c>
      <c r="Z9" s="136" t="s">
        <v>15</v>
      </c>
      <c r="AA9" s="59" t="s">
        <v>15</v>
      </c>
      <c r="AB9" s="136" t="s">
        <v>15</v>
      </c>
      <c r="AC9" s="59" t="s">
        <v>15</v>
      </c>
      <c r="AD9" s="59" t="s">
        <v>15</v>
      </c>
      <c r="AE9" s="59" t="s">
        <v>15</v>
      </c>
      <c r="AF9" s="59" t="s">
        <v>15</v>
      </c>
      <c r="AG9" s="59" t="s">
        <v>15</v>
      </c>
      <c r="AH9" s="59" t="s">
        <v>16</v>
      </c>
      <c r="AI9" s="59" t="s">
        <v>15</v>
      </c>
      <c r="AJ9" s="59" t="s">
        <v>15</v>
      </c>
      <c r="AK9" s="59" t="s">
        <v>16</v>
      </c>
      <c r="AL9" s="59" t="s">
        <v>15</v>
      </c>
      <c r="AM9" s="143" t="s">
        <v>15</v>
      </c>
      <c r="AN9" s="59" t="s">
        <v>16</v>
      </c>
      <c r="AO9" s="59" t="s">
        <v>15</v>
      </c>
      <c r="AP9" s="59" t="s">
        <v>16</v>
      </c>
      <c r="AQ9" s="59" t="s">
        <v>15</v>
      </c>
      <c r="AR9" s="59" t="s">
        <v>15</v>
      </c>
      <c r="AS9" s="139">
        <f t="shared" si="2"/>
        <v>0.8</v>
      </c>
      <c r="AT9" s="59" t="s">
        <v>15</v>
      </c>
      <c r="AU9" s="59" t="s">
        <v>16</v>
      </c>
      <c r="AV9" s="59" t="s">
        <v>15</v>
      </c>
      <c r="AW9" s="59" t="s">
        <v>15</v>
      </c>
      <c r="AX9" s="59" t="s">
        <v>15</v>
      </c>
      <c r="AY9" s="59" t="s">
        <v>15</v>
      </c>
      <c r="AZ9" s="59" t="s">
        <v>15</v>
      </c>
      <c r="BA9" s="139">
        <f t="shared" si="3"/>
        <v>0.8571428571</v>
      </c>
      <c r="BB9" s="59" t="s">
        <v>15</v>
      </c>
      <c r="BC9" s="140" t="s">
        <v>15</v>
      </c>
      <c r="BD9" s="140" t="s">
        <v>16</v>
      </c>
      <c r="BE9" s="140" t="s">
        <v>15</v>
      </c>
      <c r="BF9" s="140" t="s">
        <v>15</v>
      </c>
      <c r="BG9" s="140" t="s">
        <v>15</v>
      </c>
      <c r="BH9" s="140" t="s">
        <v>16</v>
      </c>
      <c r="BI9" s="140" t="s">
        <v>15</v>
      </c>
      <c r="BJ9" s="140" t="s">
        <v>15</v>
      </c>
      <c r="BK9" s="140" t="s">
        <v>16</v>
      </c>
      <c r="BL9" s="140" t="s">
        <v>15</v>
      </c>
      <c r="BM9" s="140" t="s">
        <v>15</v>
      </c>
      <c r="BN9" s="65" t="s">
        <v>15</v>
      </c>
      <c r="BO9" s="140" t="s">
        <v>16</v>
      </c>
      <c r="BP9" s="140" t="s">
        <v>15</v>
      </c>
      <c r="BQ9" s="140" t="s">
        <v>15</v>
      </c>
      <c r="BR9" s="140" t="s">
        <v>15</v>
      </c>
      <c r="BS9" s="140" t="s">
        <v>15</v>
      </c>
      <c r="BT9" s="140" t="s">
        <v>15</v>
      </c>
      <c r="BU9" s="140" t="s">
        <v>16</v>
      </c>
      <c r="BV9" s="140" t="s">
        <v>15</v>
      </c>
      <c r="BW9" s="67" t="s">
        <v>16</v>
      </c>
      <c r="BX9" s="22">
        <f t="shared" si="4"/>
        <v>0.7272727273</v>
      </c>
    </row>
    <row r="10">
      <c r="A10" s="24">
        <v>6.0</v>
      </c>
      <c r="B10" s="46"/>
      <c r="C10" s="112" t="s">
        <v>32</v>
      </c>
      <c r="D10" s="59" t="s">
        <v>16</v>
      </c>
      <c r="E10" s="70" t="s">
        <v>16</v>
      </c>
      <c r="F10" s="144" t="s">
        <v>16</v>
      </c>
      <c r="G10" s="59" t="s">
        <v>15</v>
      </c>
      <c r="H10" s="136" t="s">
        <v>15</v>
      </c>
      <c r="I10" s="147" t="s">
        <v>15</v>
      </c>
      <c r="J10" s="59" t="s">
        <v>15</v>
      </c>
      <c r="K10" s="59" t="s">
        <v>16</v>
      </c>
      <c r="L10" s="145" t="s">
        <v>16</v>
      </c>
      <c r="M10" s="148" t="s">
        <v>15</v>
      </c>
      <c r="N10" s="59" t="s">
        <v>15</v>
      </c>
      <c r="O10" s="59" t="s">
        <v>15</v>
      </c>
      <c r="P10" s="59" t="s">
        <v>15</v>
      </c>
      <c r="Q10" s="59" t="s">
        <v>16</v>
      </c>
      <c r="R10" s="59" t="s">
        <v>16</v>
      </c>
      <c r="S10" s="59" t="s">
        <v>15</v>
      </c>
      <c r="T10" s="59" t="s">
        <v>15</v>
      </c>
      <c r="U10" s="59" t="s">
        <v>15</v>
      </c>
      <c r="V10" s="59" t="s">
        <v>15</v>
      </c>
      <c r="W10" s="59" t="s">
        <v>15</v>
      </c>
      <c r="X10" s="138">
        <f t="shared" si="1"/>
        <v>0.65</v>
      </c>
      <c r="Y10" s="59" t="s">
        <v>15</v>
      </c>
      <c r="Z10" s="136" t="s">
        <v>15</v>
      </c>
      <c r="AA10" s="59" t="s">
        <v>15</v>
      </c>
      <c r="AB10" s="136" t="s">
        <v>15</v>
      </c>
      <c r="AC10" s="59" t="s">
        <v>15</v>
      </c>
      <c r="AD10" s="59" t="s">
        <v>15</v>
      </c>
      <c r="AE10" s="59" t="s">
        <v>16</v>
      </c>
      <c r="AF10" s="59" t="s">
        <v>16</v>
      </c>
      <c r="AG10" s="59" t="s">
        <v>15</v>
      </c>
      <c r="AH10" s="59" t="s">
        <v>15</v>
      </c>
      <c r="AI10" s="59" t="s">
        <v>16</v>
      </c>
      <c r="AJ10" s="59" t="s">
        <v>15</v>
      </c>
      <c r="AK10" s="59" t="s">
        <v>16</v>
      </c>
      <c r="AL10" s="59" t="s">
        <v>15</v>
      </c>
      <c r="AM10" s="59" t="s">
        <v>16</v>
      </c>
      <c r="AN10" s="59" t="s">
        <v>16</v>
      </c>
      <c r="AO10" s="59" t="s">
        <v>16</v>
      </c>
      <c r="AP10" s="59" t="s">
        <v>15</v>
      </c>
      <c r="AQ10" s="59" t="s">
        <v>16</v>
      </c>
      <c r="AR10" s="59" t="s">
        <v>15</v>
      </c>
      <c r="AS10" s="139">
        <f t="shared" si="2"/>
        <v>0.6</v>
      </c>
      <c r="AT10" s="59" t="s">
        <v>15</v>
      </c>
      <c r="AU10" s="59" t="s">
        <v>15</v>
      </c>
      <c r="AV10" s="59" t="s">
        <v>15</v>
      </c>
      <c r="AW10" s="59" t="s">
        <v>15</v>
      </c>
      <c r="AX10" s="59" t="s">
        <v>15</v>
      </c>
      <c r="AY10" s="59" t="s">
        <v>15</v>
      </c>
      <c r="AZ10" s="59" t="s">
        <v>15</v>
      </c>
      <c r="BA10" s="139">
        <f t="shared" si="3"/>
        <v>1</v>
      </c>
      <c r="BB10" s="140" t="s">
        <v>16</v>
      </c>
      <c r="BC10" s="140" t="s">
        <v>15</v>
      </c>
      <c r="BD10" s="140" t="s">
        <v>15</v>
      </c>
      <c r="BE10" s="140" t="s">
        <v>15</v>
      </c>
      <c r="BF10" s="140" t="s">
        <v>15</v>
      </c>
      <c r="BG10" s="140" t="s">
        <v>16</v>
      </c>
      <c r="BH10" s="140" t="s">
        <v>16</v>
      </c>
      <c r="BI10" s="140" t="s">
        <v>16</v>
      </c>
      <c r="BJ10" s="140" t="s">
        <v>15</v>
      </c>
      <c r="BK10" s="140" t="s">
        <v>16</v>
      </c>
      <c r="BL10" s="140" t="s">
        <v>15</v>
      </c>
      <c r="BM10" s="140" t="s">
        <v>15</v>
      </c>
      <c r="BN10" s="65" t="s">
        <v>15</v>
      </c>
      <c r="BO10" s="140" t="s">
        <v>15</v>
      </c>
      <c r="BP10" s="140" t="s">
        <v>15</v>
      </c>
      <c r="BQ10" s="140" t="s">
        <v>15</v>
      </c>
      <c r="BR10" s="140" t="s">
        <v>15</v>
      </c>
      <c r="BS10" s="140" t="s">
        <v>15</v>
      </c>
      <c r="BT10" s="140" t="s">
        <v>15</v>
      </c>
      <c r="BU10" s="140" t="s">
        <v>16</v>
      </c>
      <c r="BV10" s="140" t="s">
        <v>16</v>
      </c>
      <c r="BW10" s="54" t="s">
        <v>15</v>
      </c>
      <c r="BX10" s="22">
        <f t="shared" si="4"/>
        <v>0.6818181818</v>
      </c>
    </row>
    <row r="11">
      <c r="A11" s="24">
        <v>7.0</v>
      </c>
      <c r="B11" s="121"/>
      <c r="C11" s="113"/>
      <c r="D11" s="59" t="s">
        <v>15</v>
      </c>
      <c r="E11" s="136" t="s">
        <v>15</v>
      </c>
      <c r="F11" s="144" t="s">
        <v>16</v>
      </c>
      <c r="G11" s="59" t="s">
        <v>15</v>
      </c>
      <c r="H11" s="136" t="s">
        <v>15</v>
      </c>
      <c r="I11" s="59" t="s">
        <v>15</v>
      </c>
      <c r="J11" s="59" t="s">
        <v>15</v>
      </c>
      <c r="K11" s="59" t="s">
        <v>15</v>
      </c>
      <c r="L11" s="136" t="s">
        <v>15</v>
      </c>
      <c r="M11" s="59" t="s">
        <v>15</v>
      </c>
      <c r="N11" s="59" t="s">
        <v>15</v>
      </c>
      <c r="O11" s="59" t="s">
        <v>15</v>
      </c>
      <c r="P11" s="59" t="s">
        <v>15</v>
      </c>
      <c r="Q11" s="59" t="s">
        <v>15</v>
      </c>
      <c r="R11" s="59" t="s">
        <v>15</v>
      </c>
      <c r="S11" s="59" t="s">
        <v>15</v>
      </c>
      <c r="T11" s="59" t="s">
        <v>15</v>
      </c>
      <c r="U11" s="59" t="s">
        <v>15</v>
      </c>
      <c r="V11" s="59" t="s">
        <v>15</v>
      </c>
      <c r="W11" s="59" t="s">
        <v>15</v>
      </c>
      <c r="X11" s="138">
        <f t="shared" si="1"/>
        <v>0.95</v>
      </c>
      <c r="Y11" s="59" t="s">
        <v>15</v>
      </c>
      <c r="Z11" s="136" t="s">
        <v>15</v>
      </c>
      <c r="AA11" s="59" t="s">
        <v>15</v>
      </c>
      <c r="AB11" s="136" t="s">
        <v>15</v>
      </c>
      <c r="AC11" s="59" t="s">
        <v>15</v>
      </c>
      <c r="AD11" s="59" t="s">
        <v>15</v>
      </c>
      <c r="AE11" s="59" t="s">
        <v>15</v>
      </c>
      <c r="AF11" s="59" t="s">
        <v>15</v>
      </c>
      <c r="AG11" s="59" t="s">
        <v>15</v>
      </c>
      <c r="AH11" s="59" t="s">
        <v>15</v>
      </c>
      <c r="AI11" s="59" t="s">
        <v>15</v>
      </c>
      <c r="AJ11" s="59" t="s">
        <v>15</v>
      </c>
      <c r="AK11" s="59" t="s">
        <v>15</v>
      </c>
      <c r="AL11" s="59" t="s">
        <v>15</v>
      </c>
      <c r="AM11" s="59" t="s">
        <v>15</v>
      </c>
      <c r="AN11" s="59" t="s">
        <v>16</v>
      </c>
      <c r="AO11" s="59" t="s">
        <v>15</v>
      </c>
      <c r="AP11" s="59" t="s">
        <v>16</v>
      </c>
      <c r="AQ11" s="59" t="s">
        <v>15</v>
      </c>
      <c r="AR11" s="59" t="s">
        <v>15</v>
      </c>
      <c r="AS11" s="139">
        <f t="shared" si="2"/>
        <v>0.9</v>
      </c>
      <c r="AT11" s="59" t="s">
        <v>15</v>
      </c>
      <c r="AU11" s="59" t="s">
        <v>16</v>
      </c>
      <c r="AV11" s="59" t="s">
        <v>15</v>
      </c>
      <c r="AW11" s="59" t="s">
        <v>15</v>
      </c>
      <c r="AX11" s="59" t="s">
        <v>15</v>
      </c>
      <c r="AY11" s="59" t="s">
        <v>15</v>
      </c>
      <c r="AZ11" s="59" t="s">
        <v>15</v>
      </c>
      <c r="BA11" s="139">
        <f t="shared" si="3"/>
        <v>0.8571428571</v>
      </c>
      <c r="BB11" s="59" t="s">
        <v>15</v>
      </c>
      <c r="BC11" s="140" t="s">
        <v>15</v>
      </c>
      <c r="BD11" s="140" t="s">
        <v>15</v>
      </c>
      <c r="BE11" s="140" t="s">
        <v>15</v>
      </c>
      <c r="BF11" s="140" t="s">
        <v>15</v>
      </c>
      <c r="BG11" s="140" t="s">
        <v>15</v>
      </c>
      <c r="BH11" s="140" t="s">
        <v>16</v>
      </c>
      <c r="BI11" s="140" t="s">
        <v>15</v>
      </c>
      <c r="BJ11" s="140" t="s">
        <v>15</v>
      </c>
      <c r="BK11" s="140" t="s">
        <v>15</v>
      </c>
      <c r="BL11" s="140" t="s">
        <v>15</v>
      </c>
      <c r="BM11" s="140" t="s">
        <v>15</v>
      </c>
      <c r="BN11" s="85" t="s">
        <v>16</v>
      </c>
      <c r="BO11" s="140" t="s">
        <v>16</v>
      </c>
      <c r="BP11" s="140" t="s">
        <v>15</v>
      </c>
      <c r="BQ11" s="140" t="s">
        <v>15</v>
      </c>
      <c r="BR11" s="140" t="s">
        <v>15</v>
      </c>
      <c r="BS11" s="140" t="s">
        <v>15</v>
      </c>
      <c r="BT11" s="140" t="s">
        <v>15</v>
      </c>
      <c r="BU11" s="140" t="s">
        <v>15</v>
      </c>
      <c r="BV11" s="140" t="s">
        <v>15</v>
      </c>
      <c r="BW11" s="83" t="s">
        <v>15</v>
      </c>
      <c r="BX11" s="22">
        <f t="shared" si="4"/>
        <v>0.8636363636</v>
      </c>
    </row>
    <row r="12">
      <c r="A12" s="24">
        <v>8.0</v>
      </c>
      <c r="B12" s="30"/>
      <c r="C12" s="149" t="s">
        <v>19</v>
      </c>
      <c r="D12" s="32" t="s">
        <v>20</v>
      </c>
      <c r="E12" s="32" t="s">
        <v>20</v>
      </c>
      <c r="F12" s="32" t="s">
        <v>20</v>
      </c>
      <c r="G12" s="32" t="s">
        <v>20</v>
      </c>
      <c r="H12" s="32" t="s">
        <v>20</v>
      </c>
      <c r="I12" s="32" t="s">
        <v>20</v>
      </c>
      <c r="J12" s="32" t="s">
        <v>20</v>
      </c>
      <c r="K12" s="32" t="s">
        <v>20</v>
      </c>
      <c r="L12" s="32" t="s">
        <v>20</v>
      </c>
      <c r="M12" s="32" t="s">
        <v>20</v>
      </c>
      <c r="N12" s="32" t="s">
        <v>20</v>
      </c>
      <c r="O12" s="32" t="s">
        <v>20</v>
      </c>
      <c r="P12" s="32" t="s">
        <v>20</v>
      </c>
      <c r="Q12" s="32" t="s">
        <v>20</v>
      </c>
      <c r="R12" s="32" t="s">
        <v>20</v>
      </c>
      <c r="S12" s="32"/>
      <c r="T12" s="32" t="s">
        <v>20</v>
      </c>
      <c r="U12" s="32" t="s">
        <v>20</v>
      </c>
      <c r="V12" s="38" t="s">
        <v>20</v>
      </c>
      <c r="W12" s="38" t="s">
        <v>20</v>
      </c>
      <c r="X12" s="40" t="str">
        <f t="shared" si="1"/>
        <v>0,00%</v>
      </c>
      <c r="Y12" s="38"/>
      <c r="Z12" s="33" t="s">
        <v>18</v>
      </c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48" t="str">
        <f t="shared" si="2"/>
        <v>0,00%</v>
      </c>
      <c r="AT12" s="150"/>
      <c r="AU12" s="150"/>
      <c r="AV12" s="150"/>
      <c r="AW12" s="150"/>
      <c r="AX12" s="150"/>
      <c r="AY12" s="150"/>
      <c r="AZ12" s="150"/>
      <c r="BA12" s="48" t="str">
        <f t="shared" si="3"/>
        <v>0,00%</v>
      </c>
      <c r="BB12" s="150"/>
      <c r="BC12" s="150"/>
      <c r="BD12" s="150"/>
      <c r="BE12" s="150"/>
      <c r="BF12" s="150"/>
      <c r="BG12" s="150"/>
      <c r="BH12" s="150"/>
      <c r="BI12" s="150"/>
      <c r="BJ12" s="150"/>
      <c r="BK12" s="150"/>
      <c r="BL12" s="150"/>
      <c r="BM12" s="150"/>
      <c r="BN12" s="74" t="s">
        <v>18</v>
      </c>
      <c r="BO12" s="150"/>
      <c r="BP12" s="150"/>
      <c r="BQ12" s="150"/>
      <c r="BR12" s="150"/>
      <c r="BS12" s="150"/>
      <c r="BT12" s="150"/>
      <c r="BU12" s="150"/>
      <c r="BV12" s="150"/>
      <c r="BW12" s="76" t="s">
        <v>18</v>
      </c>
      <c r="BX12" s="48" t="str">
        <f t="shared" si="4"/>
        <v>0,00%</v>
      </c>
    </row>
    <row r="13">
      <c r="A13" s="24">
        <v>9.0</v>
      </c>
      <c r="B13" s="30"/>
      <c r="C13" s="151" t="s">
        <v>19</v>
      </c>
      <c r="D13" s="32" t="s">
        <v>20</v>
      </c>
      <c r="E13" s="32" t="s">
        <v>20</v>
      </c>
      <c r="F13" s="32" t="s">
        <v>20</v>
      </c>
      <c r="G13" s="32" t="s">
        <v>20</v>
      </c>
      <c r="H13" s="32" t="s">
        <v>20</v>
      </c>
      <c r="I13" s="32" t="s">
        <v>20</v>
      </c>
      <c r="J13" s="32" t="s">
        <v>20</v>
      </c>
      <c r="K13" s="32" t="s">
        <v>20</v>
      </c>
      <c r="L13" s="32" t="s">
        <v>20</v>
      </c>
      <c r="M13" s="32" t="s">
        <v>20</v>
      </c>
      <c r="N13" s="32" t="s">
        <v>20</v>
      </c>
      <c r="O13" s="32" t="s">
        <v>20</v>
      </c>
      <c r="P13" s="32" t="s">
        <v>20</v>
      </c>
      <c r="Q13" s="32" t="s">
        <v>20</v>
      </c>
      <c r="R13" s="32" t="s">
        <v>20</v>
      </c>
      <c r="S13" s="32"/>
      <c r="T13" s="32" t="s">
        <v>20</v>
      </c>
      <c r="U13" s="32" t="s">
        <v>20</v>
      </c>
      <c r="V13" s="38" t="s">
        <v>20</v>
      </c>
      <c r="W13" s="38" t="s">
        <v>20</v>
      </c>
      <c r="X13" s="40" t="str">
        <f t="shared" si="1"/>
        <v>0,00%</v>
      </c>
      <c r="Y13" s="38"/>
      <c r="Z13" s="33" t="s">
        <v>18</v>
      </c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48" t="str">
        <f t="shared" si="2"/>
        <v>0,00%</v>
      </c>
      <c r="AT13" s="150"/>
      <c r="AU13" s="150"/>
      <c r="AV13" s="150"/>
      <c r="AW13" s="150"/>
      <c r="AX13" s="150"/>
      <c r="AY13" s="150"/>
      <c r="AZ13" s="150"/>
      <c r="BA13" s="48" t="str">
        <f t="shared" si="3"/>
        <v>0,00%</v>
      </c>
      <c r="BB13" s="150"/>
      <c r="BC13" s="150"/>
      <c r="BD13" s="150"/>
      <c r="BE13" s="150"/>
      <c r="BF13" s="150"/>
      <c r="BG13" s="150"/>
      <c r="BH13" s="150"/>
      <c r="BI13" s="150"/>
      <c r="BJ13" s="150"/>
      <c r="BK13" s="150"/>
      <c r="BL13" s="150"/>
      <c r="BM13" s="150"/>
      <c r="BN13" s="74" t="s">
        <v>18</v>
      </c>
      <c r="BO13" s="150"/>
      <c r="BP13" s="150"/>
      <c r="BQ13" s="150"/>
      <c r="BR13" s="150"/>
      <c r="BS13" s="150"/>
      <c r="BT13" s="150"/>
      <c r="BU13" s="150"/>
      <c r="BV13" s="150"/>
      <c r="BW13" s="76" t="s">
        <v>18</v>
      </c>
      <c r="BX13" s="48" t="str">
        <f t="shared" si="4"/>
        <v>0,00%</v>
      </c>
    </row>
    <row r="14">
      <c r="A14" s="24">
        <v>10.0</v>
      </c>
      <c r="B14" s="92"/>
      <c r="C14" s="149" t="s">
        <v>19</v>
      </c>
      <c r="D14" s="32" t="s">
        <v>20</v>
      </c>
      <c r="E14" s="32" t="s">
        <v>20</v>
      </c>
      <c r="F14" s="32" t="s">
        <v>20</v>
      </c>
      <c r="G14" s="32" t="s">
        <v>20</v>
      </c>
      <c r="H14" s="32" t="s">
        <v>20</v>
      </c>
      <c r="I14" s="32" t="s">
        <v>20</v>
      </c>
      <c r="J14" s="32" t="s">
        <v>20</v>
      </c>
      <c r="K14" s="32" t="s">
        <v>20</v>
      </c>
      <c r="L14" s="32" t="s">
        <v>20</v>
      </c>
      <c r="M14" s="32" t="s">
        <v>20</v>
      </c>
      <c r="N14" s="32" t="s">
        <v>20</v>
      </c>
      <c r="O14" s="32" t="s">
        <v>20</v>
      </c>
      <c r="P14" s="32" t="s">
        <v>20</v>
      </c>
      <c r="Q14" s="32" t="s">
        <v>20</v>
      </c>
      <c r="R14" s="32" t="s">
        <v>20</v>
      </c>
      <c r="S14" s="32"/>
      <c r="T14" s="32" t="s">
        <v>20</v>
      </c>
      <c r="U14" s="32" t="s">
        <v>20</v>
      </c>
      <c r="V14" s="38" t="s">
        <v>20</v>
      </c>
      <c r="W14" s="38" t="s">
        <v>20</v>
      </c>
      <c r="X14" s="40" t="str">
        <f t="shared" si="1"/>
        <v>0,00%</v>
      </c>
      <c r="Y14" s="38"/>
      <c r="Z14" s="33" t="s">
        <v>18</v>
      </c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48" t="str">
        <f t="shared" si="2"/>
        <v>0,00%</v>
      </c>
      <c r="AT14" s="150"/>
      <c r="AU14" s="150"/>
      <c r="AV14" s="150"/>
      <c r="AW14" s="150"/>
      <c r="AX14" s="150"/>
      <c r="AY14" s="150"/>
      <c r="AZ14" s="150"/>
      <c r="BA14" s="48" t="str">
        <f t="shared" si="3"/>
        <v>0,00%</v>
      </c>
      <c r="BB14" s="150"/>
      <c r="BC14" s="150"/>
      <c r="BD14" s="150"/>
      <c r="BE14" s="150"/>
      <c r="BF14" s="150"/>
      <c r="BG14" s="150"/>
      <c r="BH14" s="150"/>
      <c r="BI14" s="150"/>
      <c r="BJ14" s="150"/>
      <c r="BK14" s="150"/>
      <c r="BL14" s="150"/>
      <c r="BM14" s="150"/>
      <c r="BN14" s="74" t="s">
        <v>18</v>
      </c>
      <c r="BO14" s="150"/>
      <c r="BP14" s="150"/>
      <c r="BQ14" s="150"/>
      <c r="BR14" s="150"/>
      <c r="BS14" s="150"/>
      <c r="BT14" s="150"/>
      <c r="BU14" s="150"/>
      <c r="BV14" s="150"/>
      <c r="BW14" s="76" t="s">
        <v>18</v>
      </c>
      <c r="BX14" s="48" t="str">
        <f t="shared" si="4"/>
        <v>0,00%</v>
      </c>
    </row>
    <row r="15">
      <c r="A15" s="24">
        <v>11.0</v>
      </c>
      <c r="B15" s="55"/>
      <c r="C15" s="58"/>
      <c r="D15" s="59" t="s">
        <v>15</v>
      </c>
      <c r="E15" s="136" t="s">
        <v>15</v>
      </c>
      <c r="F15" s="142" t="s">
        <v>15</v>
      </c>
      <c r="G15" s="59" t="s">
        <v>15</v>
      </c>
      <c r="H15" s="136" t="s">
        <v>15</v>
      </c>
      <c r="I15" s="59" t="s">
        <v>15</v>
      </c>
      <c r="J15" s="59" t="s">
        <v>15</v>
      </c>
      <c r="K15" s="59" t="s">
        <v>15</v>
      </c>
      <c r="L15" s="136" t="s">
        <v>15</v>
      </c>
      <c r="M15" s="59" t="s">
        <v>15</v>
      </c>
      <c r="N15" s="59" t="s">
        <v>15</v>
      </c>
      <c r="O15" s="59" t="s">
        <v>15</v>
      </c>
      <c r="P15" s="59" t="s">
        <v>15</v>
      </c>
      <c r="Q15" s="59" t="s">
        <v>15</v>
      </c>
      <c r="R15" s="59" t="s">
        <v>15</v>
      </c>
      <c r="S15" s="59" t="s">
        <v>15</v>
      </c>
      <c r="T15" s="59" t="s">
        <v>15</v>
      </c>
      <c r="U15" s="59" t="s">
        <v>15</v>
      </c>
      <c r="V15" s="59" t="s">
        <v>15</v>
      </c>
      <c r="W15" s="59" t="s">
        <v>15</v>
      </c>
      <c r="X15" s="138">
        <f t="shared" si="1"/>
        <v>1</v>
      </c>
      <c r="Y15" s="59" t="s">
        <v>15</v>
      </c>
      <c r="Z15" s="136" t="s">
        <v>15</v>
      </c>
      <c r="AA15" s="59" t="s">
        <v>15</v>
      </c>
      <c r="AB15" s="136" t="s">
        <v>15</v>
      </c>
      <c r="AC15" s="59" t="s">
        <v>15</v>
      </c>
      <c r="AD15" s="59" t="s">
        <v>15</v>
      </c>
      <c r="AE15" s="59" t="s">
        <v>15</v>
      </c>
      <c r="AF15" s="59" t="s">
        <v>15</v>
      </c>
      <c r="AG15" s="59" t="s">
        <v>15</v>
      </c>
      <c r="AH15" s="59" t="s">
        <v>15</v>
      </c>
      <c r="AI15" s="59" t="s">
        <v>15</v>
      </c>
      <c r="AJ15" s="59" t="s">
        <v>15</v>
      </c>
      <c r="AK15" s="59" t="s">
        <v>15</v>
      </c>
      <c r="AL15" s="59" t="s">
        <v>15</v>
      </c>
      <c r="AM15" s="143" t="s">
        <v>15</v>
      </c>
      <c r="AN15" s="59" t="s">
        <v>15</v>
      </c>
      <c r="AO15" s="59" t="s">
        <v>15</v>
      </c>
      <c r="AP15" s="59" t="s">
        <v>16</v>
      </c>
      <c r="AQ15" s="59" t="s">
        <v>15</v>
      </c>
      <c r="AR15" s="59" t="s">
        <v>15</v>
      </c>
      <c r="AS15" s="139">
        <f t="shared" si="2"/>
        <v>0.95</v>
      </c>
      <c r="AT15" s="59" t="s">
        <v>15</v>
      </c>
      <c r="AU15" s="59" t="s">
        <v>16</v>
      </c>
      <c r="AV15" s="59" t="s">
        <v>15</v>
      </c>
      <c r="AW15" s="59" t="s">
        <v>15</v>
      </c>
      <c r="AX15" s="59" t="s">
        <v>15</v>
      </c>
      <c r="AY15" s="59" t="s">
        <v>15</v>
      </c>
      <c r="AZ15" s="59" t="s">
        <v>15</v>
      </c>
      <c r="BA15" s="139">
        <f t="shared" si="3"/>
        <v>0.8571428571</v>
      </c>
      <c r="BB15" s="59" t="s">
        <v>15</v>
      </c>
      <c r="BC15" s="140" t="s">
        <v>15</v>
      </c>
      <c r="BD15" s="140" t="s">
        <v>15</v>
      </c>
      <c r="BE15" s="140" t="s">
        <v>15</v>
      </c>
      <c r="BF15" s="140" t="s">
        <v>15</v>
      </c>
      <c r="BG15" s="152" t="s">
        <v>15</v>
      </c>
      <c r="BH15" s="140" t="s">
        <v>15</v>
      </c>
      <c r="BI15" s="140" t="s">
        <v>16</v>
      </c>
      <c r="BJ15" s="140" t="s">
        <v>15</v>
      </c>
      <c r="BK15" s="140" t="s">
        <v>15</v>
      </c>
      <c r="BL15" s="140" t="s">
        <v>15</v>
      </c>
      <c r="BM15" s="140" t="s">
        <v>15</v>
      </c>
      <c r="BN15" s="65" t="s">
        <v>15</v>
      </c>
      <c r="BO15" s="140" t="s">
        <v>15</v>
      </c>
      <c r="BP15" s="140" t="s">
        <v>15</v>
      </c>
      <c r="BQ15" s="140" t="s">
        <v>15</v>
      </c>
      <c r="BR15" s="140" t="s">
        <v>15</v>
      </c>
      <c r="BS15" s="140" t="s">
        <v>15</v>
      </c>
      <c r="BT15" s="140" t="s">
        <v>15</v>
      </c>
      <c r="BU15" s="140" t="s">
        <v>15</v>
      </c>
      <c r="BV15" s="140" t="s">
        <v>15</v>
      </c>
      <c r="BW15" s="54" t="s">
        <v>15</v>
      </c>
      <c r="BX15" s="22">
        <f t="shared" si="4"/>
        <v>0.9545454545</v>
      </c>
    </row>
    <row r="16">
      <c r="A16" s="24">
        <v>12.0</v>
      </c>
      <c r="B16" s="55"/>
      <c r="C16" s="113"/>
      <c r="D16" s="59" t="s">
        <v>15</v>
      </c>
      <c r="E16" s="136" t="s">
        <v>15</v>
      </c>
      <c r="F16" s="144" t="s">
        <v>16</v>
      </c>
      <c r="G16" s="59" t="s">
        <v>16</v>
      </c>
      <c r="H16" s="136" t="s">
        <v>15</v>
      </c>
      <c r="I16" s="59" t="s">
        <v>16</v>
      </c>
      <c r="J16" s="59" t="s">
        <v>15</v>
      </c>
      <c r="K16" s="59" t="s">
        <v>15</v>
      </c>
      <c r="L16" s="145" t="s">
        <v>16</v>
      </c>
      <c r="M16" s="59" t="s">
        <v>15</v>
      </c>
      <c r="N16" s="59" t="s">
        <v>16</v>
      </c>
      <c r="O16" s="59" t="s">
        <v>15</v>
      </c>
      <c r="P16" s="59" t="s">
        <v>16</v>
      </c>
      <c r="Q16" s="59" t="s">
        <v>15</v>
      </c>
      <c r="R16" s="59" t="s">
        <v>15</v>
      </c>
      <c r="S16" s="59" t="s">
        <v>16</v>
      </c>
      <c r="T16" s="59" t="s">
        <v>15</v>
      </c>
      <c r="U16" s="59" t="s">
        <v>15</v>
      </c>
      <c r="V16" s="59" t="s">
        <v>15</v>
      </c>
      <c r="W16" s="59" t="s">
        <v>15</v>
      </c>
      <c r="X16" s="138">
        <f t="shared" si="1"/>
        <v>0.65</v>
      </c>
      <c r="Y16" s="59" t="s">
        <v>15</v>
      </c>
      <c r="Z16" s="145" t="s">
        <v>16</v>
      </c>
      <c r="AA16" s="59" t="s">
        <v>15</v>
      </c>
      <c r="AB16" s="59" t="s">
        <v>16</v>
      </c>
      <c r="AC16" s="59" t="s">
        <v>15</v>
      </c>
      <c r="AD16" s="59" t="s">
        <v>15</v>
      </c>
      <c r="AE16" s="59" t="s">
        <v>15</v>
      </c>
      <c r="AF16" s="59" t="s">
        <v>15</v>
      </c>
      <c r="AG16" s="59" t="s">
        <v>15</v>
      </c>
      <c r="AH16" s="59" t="s">
        <v>15</v>
      </c>
      <c r="AI16" s="59" t="s">
        <v>16</v>
      </c>
      <c r="AJ16" s="59" t="s">
        <v>15</v>
      </c>
      <c r="AK16" s="59" t="s">
        <v>15</v>
      </c>
      <c r="AL16" s="59" t="s">
        <v>15</v>
      </c>
      <c r="AM16" s="143" t="s">
        <v>15</v>
      </c>
      <c r="AN16" s="59" t="s">
        <v>16</v>
      </c>
      <c r="AO16" s="59" t="s">
        <v>15</v>
      </c>
      <c r="AP16" s="59" t="s">
        <v>15</v>
      </c>
      <c r="AQ16" s="59" t="s">
        <v>15</v>
      </c>
      <c r="AR16" s="59" t="s">
        <v>16</v>
      </c>
      <c r="AS16" s="139">
        <f t="shared" si="2"/>
        <v>0.75</v>
      </c>
      <c r="AT16" s="59" t="s">
        <v>15</v>
      </c>
      <c r="AU16" s="59" t="s">
        <v>16</v>
      </c>
      <c r="AV16" s="59" t="s">
        <v>15</v>
      </c>
      <c r="AW16" s="59" t="s">
        <v>15</v>
      </c>
      <c r="AX16" s="59" t="s">
        <v>15</v>
      </c>
      <c r="AY16" s="59" t="s">
        <v>16</v>
      </c>
      <c r="AZ16" s="59" t="s">
        <v>16</v>
      </c>
      <c r="BA16" s="139">
        <f t="shared" si="3"/>
        <v>0.5714285714</v>
      </c>
      <c r="BB16" s="59" t="s">
        <v>15</v>
      </c>
      <c r="BC16" s="140" t="s">
        <v>15</v>
      </c>
      <c r="BD16" s="140" t="s">
        <v>15</v>
      </c>
      <c r="BE16" s="140" t="s">
        <v>15</v>
      </c>
      <c r="BF16" s="140" t="s">
        <v>15</v>
      </c>
      <c r="BG16" s="152" t="s">
        <v>15</v>
      </c>
      <c r="BH16" s="140" t="s">
        <v>15</v>
      </c>
      <c r="BI16" s="140" t="s">
        <v>15</v>
      </c>
      <c r="BJ16" s="140" t="s">
        <v>15</v>
      </c>
      <c r="BK16" s="140" t="s">
        <v>16</v>
      </c>
      <c r="BL16" s="140" t="s">
        <v>16</v>
      </c>
      <c r="BM16" s="140" t="s">
        <v>15</v>
      </c>
      <c r="BN16" s="65" t="s">
        <v>15</v>
      </c>
      <c r="BO16" s="140" t="s">
        <v>15</v>
      </c>
      <c r="BP16" s="140" t="s">
        <v>15</v>
      </c>
      <c r="BQ16" s="140" t="s">
        <v>15</v>
      </c>
      <c r="BR16" s="140" t="s">
        <v>15</v>
      </c>
      <c r="BS16" s="140" t="s">
        <v>15</v>
      </c>
      <c r="BT16" s="140" t="s">
        <v>15</v>
      </c>
      <c r="BU16" s="140" t="s">
        <v>15</v>
      </c>
      <c r="BV16" s="140" t="s">
        <v>16</v>
      </c>
      <c r="BW16" s="54" t="s">
        <v>15</v>
      </c>
      <c r="BX16" s="22">
        <f t="shared" si="4"/>
        <v>0.8636363636</v>
      </c>
    </row>
    <row r="17">
      <c r="A17" s="24">
        <v>13.0</v>
      </c>
      <c r="B17" s="92"/>
      <c r="C17" s="149" t="s">
        <v>19</v>
      </c>
      <c r="D17" s="32" t="s">
        <v>20</v>
      </c>
      <c r="E17" s="32" t="s">
        <v>20</v>
      </c>
      <c r="F17" s="32" t="s">
        <v>20</v>
      </c>
      <c r="G17" s="32" t="s">
        <v>20</v>
      </c>
      <c r="H17" s="32" t="s">
        <v>20</v>
      </c>
      <c r="I17" s="32" t="s">
        <v>20</v>
      </c>
      <c r="J17" s="32" t="s">
        <v>20</v>
      </c>
      <c r="K17" s="32" t="s">
        <v>20</v>
      </c>
      <c r="L17" s="32" t="s">
        <v>20</v>
      </c>
      <c r="M17" s="32" t="s">
        <v>20</v>
      </c>
      <c r="N17" s="32" t="s">
        <v>20</v>
      </c>
      <c r="O17" s="32" t="s">
        <v>20</v>
      </c>
      <c r="P17" s="32" t="s">
        <v>20</v>
      </c>
      <c r="Q17" s="32" t="s">
        <v>20</v>
      </c>
      <c r="R17" s="32" t="s">
        <v>20</v>
      </c>
      <c r="S17" s="32"/>
      <c r="T17" s="32" t="s">
        <v>20</v>
      </c>
      <c r="U17" s="32" t="s">
        <v>20</v>
      </c>
      <c r="V17" s="38" t="s">
        <v>20</v>
      </c>
      <c r="W17" s="38" t="s">
        <v>20</v>
      </c>
      <c r="X17" s="40" t="str">
        <f t="shared" si="1"/>
        <v>0,00%</v>
      </c>
      <c r="Y17" s="38"/>
      <c r="Z17" s="33" t="s">
        <v>18</v>
      </c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48" t="str">
        <f t="shared" si="2"/>
        <v>0,00%</v>
      </c>
      <c r="AT17" s="150"/>
      <c r="AU17" s="150"/>
      <c r="AV17" s="150"/>
      <c r="AW17" s="150"/>
      <c r="AX17" s="150"/>
      <c r="AY17" s="150"/>
      <c r="AZ17" s="150"/>
      <c r="BA17" s="48" t="str">
        <f t="shared" si="3"/>
        <v>0,00%</v>
      </c>
      <c r="BB17" s="150"/>
      <c r="BC17" s="150"/>
      <c r="BD17" s="150"/>
      <c r="BE17" s="150"/>
      <c r="BF17" s="150"/>
      <c r="BG17" s="150"/>
      <c r="BH17" s="150"/>
      <c r="BI17" s="150"/>
      <c r="BJ17" s="150"/>
      <c r="BK17" s="150"/>
      <c r="BL17" s="150"/>
      <c r="BM17" s="150"/>
      <c r="BN17" s="74" t="s">
        <v>18</v>
      </c>
      <c r="BO17" s="150"/>
      <c r="BP17" s="150"/>
      <c r="BQ17" s="150"/>
      <c r="BR17" s="150"/>
      <c r="BS17" s="150"/>
      <c r="BT17" s="150"/>
      <c r="BU17" s="150"/>
      <c r="BV17" s="150"/>
      <c r="BW17" s="76" t="s">
        <v>18</v>
      </c>
      <c r="BX17" s="48" t="str">
        <f t="shared" si="4"/>
        <v>0,00%</v>
      </c>
    </row>
    <row r="18">
      <c r="A18" s="24">
        <v>14.0</v>
      </c>
      <c r="B18" s="62"/>
      <c r="C18" s="26"/>
      <c r="D18" s="72" t="s">
        <v>16</v>
      </c>
      <c r="E18" s="70" t="s">
        <v>16</v>
      </c>
      <c r="F18" s="142" t="s">
        <v>15</v>
      </c>
      <c r="G18" s="59" t="s">
        <v>15</v>
      </c>
      <c r="H18" s="145" t="s">
        <v>16</v>
      </c>
      <c r="I18" s="59" t="s">
        <v>15</v>
      </c>
      <c r="J18" s="59" t="s">
        <v>15</v>
      </c>
      <c r="K18" s="59" t="s">
        <v>15</v>
      </c>
      <c r="L18" s="136" t="s">
        <v>15</v>
      </c>
      <c r="M18" s="59" t="s">
        <v>15</v>
      </c>
      <c r="N18" s="59" t="s">
        <v>16</v>
      </c>
      <c r="O18" s="59" t="s">
        <v>15</v>
      </c>
      <c r="P18" s="59" t="s">
        <v>15</v>
      </c>
      <c r="Q18" s="59" t="s">
        <v>16</v>
      </c>
      <c r="R18" s="59" t="s">
        <v>16</v>
      </c>
      <c r="S18" s="59" t="s">
        <v>15</v>
      </c>
      <c r="T18" s="59" t="s">
        <v>15</v>
      </c>
      <c r="U18" s="59" t="s">
        <v>15</v>
      </c>
      <c r="V18" s="59" t="s">
        <v>15</v>
      </c>
      <c r="W18" s="59" t="s">
        <v>16</v>
      </c>
      <c r="X18" s="138">
        <f t="shared" si="1"/>
        <v>0.65</v>
      </c>
      <c r="Y18" s="59" t="s">
        <v>16</v>
      </c>
      <c r="Z18" s="136" t="s">
        <v>15</v>
      </c>
      <c r="AA18" s="59" t="s">
        <v>16</v>
      </c>
      <c r="AB18" s="59" t="s">
        <v>16</v>
      </c>
      <c r="AC18" s="59" t="s">
        <v>15</v>
      </c>
      <c r="AD18" s="59" t="s">
        <v>15</v>
      </c>
      <c r="AE18" s="59" t="s">
        <v>15</v>
      </c>
      <c r="AF18" s="59" t="s">
        <v>16</v>
      </c>
      <c r="AG18" s="59" t="s">
        <v>15</v>
      </c>
      <c r="AH18" s="59" t="s">
        <v>15</v>
      </c>
      <c r="AI18" s="59" t="s">
        <v>15</v>
      </c>
      <c r="AJ18" s="59" t="s">
        <v>16</v>
      </c>
      <c r="AK18" s="59" t="s">
        <v>16</v>
      </c>
      <c r="AL18" s="59" t="s">
        <v>15</v>
      </c>
      <c r="AM18" s="59" t="s">
        <v>16</v>
      </c>
      <c r="AN18" s="59" t="s">
        <v>15</v>
      </c>
      <c r="AO18" s="59" t="s">
        <v>15</v>
      </c>
      <c r="AP18" s="59" t="s">
        <v>15</v>
      </c>
      <c r="AQ18" s="59" t="s">
        <v>15</v>
      </c>
      <c r="AR18" s="59" t="s">
        <v>16</v>
      </c>
      <c r="AS18" s="139">
        <f t="shared" si="2"/>
        <v>0.6</v>
      </c>
      <c r="AT18" s="59" t="s">
        <v>15</v>
      </c>
      <c r="AU18" s="59" t="s">
        <v>16</v>
      </c>
      <c r="AV18" s="59" t="s">
        <v>15</v>
      </c>
      <c r="AW18" s="146" t="s">
        <v>16</v>
      </c>
      <c r="AX18" s="59" t="s">
        <v>15</v>
      </c>
      <c r="AY18" s="59" t="s">
        <v>15</v>
      </c>
      <c r="AZ18" s="59" t="s">
        <v>16</v>
      </c>
      <c r="BA18" s="139">
        <f t="shared" si="3"/>
        <v>0.5714285714</v>
      </c>
      <c r="BB18" s="140" t="s">
        <v>16</v>
      </c>
      <c r="BC18" s="140" t="s">
        <v>15</v>
      </c>
      <c r="BD18" s="140" t="s">
        <v>16</v>
      </c>
      <c r="BE18" s="140" t="s">
        <v>15</v>
      </c>
      <c r="BF18" s="140" t="s">
        <v>15</v>
      </c>
      <c r="BG18" s="152" t="s">
        <v>16</v>
      </c>
      <c r="BH18" s="140" t="s">
        <v>16</v>
      </c>
      <c r="BI18" s="140" t="s">
        <v>16</v>
      </c>
      <c r="BJ18" s="140" t="s">
        <v>16</v>
      </c>
      <c r="BK18" s="140" t="s">
        <v>16</v>
      </c>
      <c r="BL18" s="140" t="s">
        <v>16</v>
      </c>
      <c r="BM18" s="140" t="s">
        <v>16</v>
      </c>
      <c r="BN18" s="51" t="s">
        <v>16</v>
      </c>
      <c r="BO18" s="140" t="s">
        <v>16</v>
      </c>
      <c r="BP18" s="140" t="s">
        <v>16</v>
      </c>
      <c r="BQ18" s="140" t="s">
        <v>16</v>
      </c>
      <c r="BR18" s="140" t="s">
        <v>16</v>
      </c>
      <c r="BS18" s="140" t="s">
        <v>16</v>
      </c>
      <c r="BT18" s="140" t="s">
        <v>16</v>
      </c>
      <c r="BU18" s="140" t="s">
        <v>16</v>
      </c>
      <c r="BV18" s="140" t="s">
        <v>16</v>
      </c>
      <c r="BW18" s="67" t="s">
        <v>16</v>
      </c>
      <c r="BX18" s="22">
        <f t="shared" si="4"/>
        <v>0.1363636364</v>
      </c>
    </row>
    <row r="19">
      <c r="A19" s="24">
        <v>15.0</v>
      </c>
      <c r="B19" s="62"/>
      <c r="C19" s="58"/>
      <c r="D19" s="80" t="s">
        <v>15</v>
      </c>
      <c r="E19" s="136" t="s">
        <v>15</v>
      </c>
      <c r="F19" s="144" t="s">
        <v>16</v>
      </c>
      <c r="G19" s="59" t="s">
        <v>15</v>
      </c>
      <c r="H19" s="145" t="s">
        <v>16</v>
      </c>
      <c r="I19" s="59" t="s">
        <v>15</v>
      </c>
      <c r="J19" s="59" t="s">
        <v>15</v>
      </c>
      <c r="K19" s="59" t="s">
        <v>15</v>
      </c>
      <c r="L19" s="136" t="s">
        <v>15</v>
      </c>
      <c r="M19" s="59" t="s">
        <v>15</v>
      </c>
      <c r="N19" s="59" t="s">
        <v>15</v>
      </c>
      <c r="O19" s="59" t="s">
        <v>15</v>
      </c>
      <c r="P19" s="59" t="s">
        <v>16</v>
      </c>
      <c r="Q19" s="59" t="s">
        <v>15</v>
      </c>
      <c r="R19" s="59" t="s">
        <v>15</v>
      </c>
      <c r="S19" s="59" t="s">
        <v>15</v>
      </c>
      <c r="T19" s="59" t="s">
        <v>15</v>
      </c>
      <c r="U19" s="59" t="s">
        <v>15</v>
      </c>
      <c r="V19" s="59" t="s">
        <v>15</v>
      </c>
      <c r="W19" s="59" t="s">
        <v>15</v>
      </c>
      <c r="X19" s="138">
        <f t="shared" si="1"/>
        <v>0.85</v>
      </c>
      <c r="Y19" s="59" t="s">
        <v>16</v>
      </c>
      <c r="Z19" s="136" t="s">
        <v>15</v>
      </c>
      <c r="AA19" s="59" t="s">
        <v>15</v>
      </c>
      <c r="AB19" s="136" t="s">
        <v>15</v>
      </c>
      <c r="AC19" s="59" t="s">
        <v>15</v>
      </c>
      <c r="AD19" s="59" t="s">
        <v>15</v>
      </c>
      <c r="AE19" s="59" t="s">
        <v>15</v>
      </c>
      <c r="AF19" s="59" t="s">
        <v>15</v>
      </c>
      <c r="AG19" s="59" t="s">
        <v>15</v>
      </c>
      <c r="AH19" s="59" t="s">
        <v>15</v>
      </c>
      <c r="AI19" s="59" t="s">
        <v>15</v>
      </c>
      <c r="AJ19" s="59" t="s">
        <v>15</v>
      </c>
      <c r="AK19" s="59" t="s">
        <v>15</v>
      </c>
      <c r="AL19" s="59" t="s">
        <v>15</v>
      </c>
      <c r="AM19" s="143" t="s">
        <v>15</v>
      </c>
      <c r="AN19" s="59" t="s">
        <v>16</v>
      </c>
      <c r="AO19" s="59" t="s">
        <v>16</v>
      </c>
      <c r="AP19" s="59" t="s">
        <v>16</v>
      </c>
      <c r="AQ19" s="59" t="s">
        <v>16</v>
      </c>
      <c r="AR19" s="59" t="s">
        <v>16</v>
      </c>
      <c r="AS19" s="139">
        <f t="shared" si="2"/>
        <v>0.7</v>
      </c>
      <c r="AT19" s="59" t="s">
        <v>15</v>
      </c>
      <c r="AU19" s="59" t="s">
        <v>16</v>
      </c>
      <c r="AV19" s="59" t="s">
        <v>15</v>
      </c>
      <c r="AW19" s="146" t="s">
        <v>16</v>
      </c>
      <c r="AX19" s="59" t="s">
        <v>15</v>
      </c>
      <c r="AY19" s="59" t="s">
        <v>16</v>
      </c>
      <c r="AZ19" s="59" t="s">
        <v>15</v>
      </c>
      <c r="BA19" s="139">
        <f t="shared" si="3"/>
        <v>0.5714285714</v>
      </c>
      <c r="BB19" s="140" t="s">
        <v>16</v>
      </c>
      <c r="BC19" s="140" t="s">
        <v>15</v>
      </c>
      <c r="BD19" s="140" t="s">
        <v>15</v>
      </c>
      <c r="BE19" s="140" t="s">
        <v>15</v>
      </c>
      <c r="BF19" s="140" t="s">
        <v>15</v>
      </c>
      <c r="BG19" s="152" t="s">
        <v>16</v>
      </c>
      <c r="BH19" s="140" t="s">
        <v>15</v>
      </c>
      <c r="BI19" s="140" t="s">
        <v>15</v>
      </c>
      <c r="BJ19" s="140" t="s">
        <v>15</v>
      </c>
      <c r="BK19" s="140" t="s">
        <v>15</v>
      </c>
      <c r="BL19" s="140" t="s">
        <v>15</v>
      </c>
      <c r="BM19" s="140" t="s">
        <v>15</v>
      </c>
      <c r="BN19" s="65" t="s">
        <v>15</v>
      </c>
      <c r="BO19" s="140" t="s">
        <v>15</v>
      </c>
      <c r="BP19" s="140" t="s">
        <v>16</v>
      </c>
      <c r="BQ19" s="140" t="s">
        <v>15</v>
      </c>
      <c r="BR19" s="140" t="s">
        <v>15</v>
      </c>
      <c r="BS19" s="140" t="s">
        <v>15</v>
      </c>
      <c r="BT19" s="140" t="s">
        <v>15</v>
      </c>
      <c r="BU19" s="140" t="s">
        <v>15</v>
      </c>
      <c r="BV19" s="140" t="s">
        <v>15</v>
      </c>
      <c r="BW19" s="67" t="s">
        <v>16</v>
      </c>
      <c r="BX19" s="22">
        <f t="shared" si="4"/>
        <v>0.8181818182</v>
      </c>
    </row>
    <row r="20">
      <c r="A20" s="24">
        <v>16.0</v>
      </c>
      <c r="B20" s="62"/>
      <c r="C20" s="58"/>
      <c r="D20" s="80" t="s">
        <v>15</v>
      </c>
      <c r="E20" s="136" t="s">
        <v>15</v>
      </c>
      <c r="F20" s="142" t="s">
        <v>15</v>
      </c>
      <c r="G20" s="59" t="s">
        <v>15</v>
      </c>
      <c r="H20" s="136" t="s">
        <v>15</v>
      </c>
      <c r="I20" s="59" t="s">
        <v>15</v>
      </c>
      <c r="J20" s="59" t="s">
        <v>15</v>
      </c>
      <c r="K20" s="59" t="s">
        <v>15</v>
      </c>
      <c r="L20" s="136" t="s">
        <v>15</v>
      </c>
      <c r="M20" s="59" t="s">
        <v>15</v>
      </c>
      <c r="N20" s="59" t="s">
        <v>15</v>
      </c>
      <c r="O20" s="59" t="s">
        <v>15</v>
      </c>
      <c r="P20" s="59" t="s">
        <v>15</v>
      </c>
      <c r="Q20" s="59" t="s">
        <v>15</v>
      </c>
      <c r="R20" s="59" t="s">
        <v>15</v>
      </c>
      <c r="S20" s="59" t="s">
        <v>15</v>
      </c>
      <c r="T20" s="59" t="s">
        <v>15</v>
      </c>
      <c r="U20" s="59" t="s">
        <v>15</v>
      </c>
      <c r="V20" s="59" t="s">
        <v>15</v>
      </c>
      <c r="W20" s="59" t="s">
        <v>15</v>
      </c>
      <c r="X20" s="138">
        <f t="shared" si="1"/>
        <v>1</v>
      </c>
      <c r="Y20" s="59" t="s">
        <v>16</v>
      </c>
      <c r="Z20" s="145" t="s">
        <v>16</v>
      </c>
      <c r="AA20" s="59" t="s">
        <v>15</v>
      </c>
      <c r="AB20" s="136" t="s">
        <v>15</v>
      </c>
      <c r="AC20" s="59" t="s">
        <v>15</v>
      </c>
      <c r="AD20" s="59" t="s">
        <v>16</v>
      </c>
      <c r="AE20" s="59" t="s">
        <v>15</v>
      </c>
      <c r="AF20" s="59" t="s">
        <v>15</v>
      </c>
      <c r="AG20" s="59" t="s">
        <v>15</v>
      </c>
      <c r="AH20" s="59" t="s">
        <v>15</v>
      </c>
      <c r="AI20" s="59" t="s">
        <v>15</v>
      </c>
      <c r="AJ20" s="59" t="s">
        <v>15</v>
      </c>
      <c r="AK20" s="59" t="s">
        <v>15</v>
      </c>
      <c r="AL20" s="59" t="s">
        <v>15</v>
      </c>
      <c r="AM20" s="143" t="s">
        <v>15</v>
      </c>
      <c r="AN20" s="59" t="s">
        <v>15</v>
      </c>
      <c r="AO20" s="59" t="s">
        <v>15</v>
      </c>
      <c r="AP20" s="59" t="s">
        <v>15</v>
      </c>
      <c r="AQ20" s="59" t="s">
        <v>15</v>
      </c>
      <c r="AR20" s="59" t="s">
        <v>15</v>
      </c>
      <c r="AS20" s="139">
        <f t="shared" si="2"/>
        <v>0.85</v>
      </c>
      <c r="AT20" s="59" t="s">
        <v>15</v>
      </c>
      <c r="AU20" s="59" t="s">
        <v>16</v>
      </c>
      <c r="AV20" s="59" t="s">
        <v>15</v>
      </c>
      <c r="AW20" s="59" t="s">
        <v>15</v>
      </c>
      <c r="AX20" s="59" t="s">
        <v>15</v>
      </c>
      <c r="AY20" s="59" t="s">
        <v>15</v>
      </c>
      <c r="AZ20" s="59" t="s">
        <v>15</v>
      </c>
      <c r="BA20" s="139">
        <f t="shared" si="3"/>
        <v>0.8571428571</v>
      </c>
      <c r="BB20" s="59" t="s">
        <v>15</v>
      </c>
      <c r="BC20" s="140" t="s">
        <v>15</v>
      </c>
      <c r="BD20" s="140" t="s">
        <v>15</v>
      </c>
      <c r="BE20" s="140" t="s">
        <v>15</v>
      </c>
      <c r="BF20" s="140" t="s">
        <v>15</v>
      </c>
      <c r="BG20" s="152" t="s">
        <v>15</v>
      </c>
      <c r="BH20" s="140" t="s">
        <v>15</v>
      </c>
      <c r="BI20" s="140" t="s">
        <v>15</v>
      </c>
      <c r="BJ20" s="140" t="s">
        <v>15</v>
      </c>
      <c r="BK20" s="140" t="s">
        <v>15</v>
      </c>
      <c r="BL20" s="140" t="s">
        <v>15</v>
      </c>
      <c r="BM20" s="140" t="s">
        <v>15</v>
      </c>
      <c r="BN20" s="65" t="s">
        <v>15</v>
      </c>
      <c r="BO20" s="140" t="s">
        <v>15</v>
      </c>
      <c r="BP20" s="140" t="s">
        <v>15</v>
      </c>
      <c r="BQ20" s="140" t="s">
        <v>15</v>
      </c>
      <c r="BR20" s="140" t="s">
        <v>15</v>
      </c>
      <c r="BS20" s="140" t="s">
        <v>15</v>
      </c>
      <c r="BT20" s="140" t="s">
        <v>15</v>
      </c>
      <c r="BU20" s="140" t="s">
        <v>15</v>
      </c>
      <c r="BV20" s="140" t="s">
        <v>15</v>
      </c>
      <c r="BW20" s="54" t="s">
        <v>15</v>
      </c>
      <c r="BX20" s="22">
        <f t="shared" si="4"/>
        <v>1</v>
      </c>
    </row>
    <row r="21">
      <c r="A21" s="24">
        <v>17.0</v>
      </c>
      <c r="B21" s="81"/>
      <c r="C21" s="58"/>
      <c r="D21" s="80" t="s">
        <v>16</v>
      </c>
      <c r="E21" s="144" t="s">
        <v>16</v>
      </c>
      <c r="F21" s="144" t="s">
        <v>16</v>
      </c>
      <c r="G21" s="59" t="s">
        <v>15</v>
      </c>
      <c r="H21" s="136" t="s">
        <v>15</v>
      </c>
      <c r="I21" s="59" t="s">
        <v>15</v>
      </c>
      <c r="J21" s="59" t="s">
        <v>15</v>
      </c>
      <c r="K21" s="59" t="s">
        <v>15</v>
      </c>
      <c r="L21" s="136" t="s">
        <v>15</v>
      </c>
      <c r="M21" s="59" t="s">
        <v>15</v>
      </c>
      <c r="N21" s="59" t="s">
        <v>15</v>
      </c>
      <c r="O21" s="59" t="s">
        <v>15</v>
      </c>
      <c r="P21" s="59" t="s">
        <v>16</v>
      </c>
      <c r="Q21" s="59" t="s">
        <v>15</v>
      </c>
      <c r="R21" s="59" t="s">
        <v>15</v>
      </c>
      <c r="S21" s="59" t="s">
        <v>15</v>
      </c>
      <c r="T21" s="59" t="s">
        <v>15</v>
      </c>
      <c r="U21" s="59" t="s">
        <v>15</v>
      </c>
      <c r="V21" s="59" t="s">
        <v>15</v>
      </c>
      <c r="W21" s="59" t="s">
        <v>15</v>
      </c>
      <c r="X21" s="138">
        <f t="shared" si="1"/>
        <v>0.8</v>
      </c>
      <c r="Y21" s="59" t="s">
        <v>15</v>
      </c>
      <c r="Z21" s="145" t="s">
        <v>16</v>
      </c>
      <c r="AA21" s="59" t="s">
        <v>15</v>
      </c>
      <c r="AB21" s="136" t="s">
        <v>15</v>
      </c>
      <c r="AC21" s="59" t="s">
        <v>15</v>
      </c>
      <c r="AD21" s="59" t="s">
        <v>15</v>
      </c>
      <c r="AE21" s="59" t="s">
        <v>15</v>
      </c>
      <c r="AF21" s="59" t="s">
        <v>15</v>
      </c>
      <c r="AG21" s="59" t="s">
        <v>16</v>
      </c>
      <c r="AH21" s="59" t="s">
        <v>15</v>
      </c>
      <c r="AI21" s="59" t="s">
        <v>15</v>
      </c>
      <c r="AJ21" s="59" t="s">
        <v>15</v>
      </c>
      <c r="AK21" s="59" t="s">
        <v>15</v>
      </c>
      <c r="AL21" s="59" t="s">
        <v>15</v>
      </c>
      <c r="AM21" s="143" t="s">
        <v>15</v>
      </c>
      <c r="AN21" s="59" t="s">
        <v>16</v>
      </c>
      <c r="AO21" s="59" t="s">
        <v>15</v>
      </c>
      <c r="AP21" s="59" t="s">
        <v>15</v>
      </c>
      <c r="AQ21" s="59" t="s">
        <v>15</v>
      </c>
      <c r="AR21" s="59" t="s">
        <v>15</v>
      </c>
      <c r="AS21" s="139">
        <f t="shared" si="2"/>
        <v>0.85</v>
      </c>
      <c r="AT21" s="59" t="s">
        <v>15</v>
      </c>
      <c r="AU21" s="59" t="s">
        <v>15</v>
      </c>
      <c r="AV21" s="59" t="s">
        <v>15</v>
      </c>
      <c r="AW21" s="59" t="s">
        <v>15</v>
      </c>
      <c r="AX21" s="59" t="s">
        <v>15</v>
      </c>
      <c r="AY21" s="59" t="s">
        <v>16</v>
      </c>
      <c r="AZ21" s="59" t="s">
        <v>15</v>
      </c>
      <c r="BA21" s="139">
        <f t="shared" si="3"/>
        <v>0.8571428571</v>
      </c>
      <c r="BB21" s="59" t="s">
        <v>15</v>
      </c>
      <c r="BC21" s="140" t="s">
        <v>15</v>
      </c>
      <c r="BD21" s="140" t="s">
        <v>15</v>
      </c>
      <c r="BE21" s="140" t="s">
        <v>15</v>
      </c>
      <c r="BF21" s="140" t="s">
        <v>15</v>
      </c>
      <c r="BG21" s="152" t="s">
        <v>16</v>
      </c>
      <c r="BH21" s="140" t="s">
        <v>15</v>
      </c>
      <c r="BI21" s="140" t="s">
        <v>15</v>
      </c>
      <c r="BJ21" s="140" t="s">
        <v>15</v>
      </c>
      <c r="BK21" s="140" t="s">
        <v>15</v>
      </c>
      <c r="BL21" s="140" t="s">
        <v>15</v>
      </c>
      <c r="BM21" s="140" t="s">
        <v>16</v>
      </c>
      <c r="BN21" s="65" t="s">
        <v>15</v>
      </c>
      <c r="BO21" s="140" t="s">
        <v>15</v>
      </c>
      <c r="BP21" s="140" t="s">
        <v>15</v>
      </c>
      <c r="BQ21" s="140" t="s">
        <v>15</v>
      </c>
      <c r="BR21" s="140" t="s">
        <v>15</v>
      </c>
      <c r="BS21" s="140" t="s">
        <v>15</v>
      </c>
      <c r="BT21" s="140" t="s">
        <v>15</v>
      </c>
      <c r="BU21" s="140" t="s">
        <v>15</v>
      </c>
      <c r="BV21" s="140" t="s">
        <v>15</v>
      </c>
      <c r="BW21" s="54" t="s">
        <v>15</v>
      </c>
      <c r="BX21" s="22">
        <f t="shared" si="4"/>
        <v>0.9090909091</v>
      </c>
    </row>
    <row r="22">
      <c r="A22" s="24">
        <v>18.0</v>
      </c>
      <c r="B22" s="62"/>
      <c r="C22" s="58"/>
      <c r="D22" s="80" t="s">
        <v>15</v>
      </c>
      <c r="E22" s="136" t="s">
        <v>15</v>
      </c>
      <c r="F22" s="144" t="s">
        <v>16</v>
      </c>
      <c r="G22" s="59" t="s">
        <v>15</v>
      </c>
      <c r="H22" s="136" t="s">
        <v>15</v>
      </c>
      <c r="I22" s="59" t="s">
        <v>15</v>
      </c>
      <c r="J22" s="59" t="s">
        <v>15</v>
      </c>
      <c r="K22" s="59" t="s">
        <v>15</v>
      </c>
      <c r="L22" s="136" t="s">
        <v>15</v>
      </c>
      <c r="M22" s="59" t="s">
        <v>15</v>
      </c>
      <c r="N22" s="59" t="s">
        <v>15</v>
      </c>
      <c r="O22" s="59" t="s">
        <v>15</v>
      </c>
      <c r="P22" s="59" t="s">
        <v>15</v>
      </c>
      <c r="Q22" s="59" t="s">
        <v>15</v>
      </c>
      <c r="R22" s="59" t="s">
        <v>15</v>
      </c>
      <c r="S22" s="59" t="s">
        <v>15</v>
      </c>
      <c r="T22" s="59" t="s">
        <v>15</v>
      </c>
      <c r="U22" s="59" t="s">
        <v>15</v>
      </c>
      <c r="V22" s="59" t="s">
        <v>15</v>
      </c>
      <c r="W22" s="59" t="s">
        <v>15</v>
      </c>
      <c r="X22" s="138">
        <f t="shared" si="1"/>
        <v>0.95</v>
      </c>
      <c r="Y22" s="59" t="s">
        <v>15</v>
      </c>
      <c r="Z22" s="136" t="s">
        <v>15</v>
      </c>
      <c r="AA22" s="59" t="s">
        <v>15</v>
      </c>
      <c r="AB22" s="136" t="s">
        <v>15</v>
      </c>
      <c r="AC22" s="59" t="s">
        <v>15</v>
      </c>
      <c r="AD22" s="59" t="s">
        <v>15</v>
      </c>
      <c r="AE22" s="59" t="s">
        <v>15</v>
      </c>
      <c r="AF22" s="59" t="s">
        <v>15</v>
      </c>
      <c r="AG22" s="59" t="s">
        <v>15</v>
      </c>
      <c r="AH22" s="59" t="s">
        <v>15</v>
      </c>
      <c r="AI22" s="59" t="s">
        <v>15</v>
      </c>
      <c r="AJ22" s="59" t="s">
        <v>15</v>
      </c>
      <c r="AK22" s="59" t="s">
        <v>15</v>
      </c>
      <c r="AL22" s="59" t="s">
        <v>15</v>
      </c>
      <c r="AM22" s="143" t="s">
        <v>15</v>
      </c>
      <c r="AN22" s="59" t="s">
        <v>15</v>
      </c>
      <c r="AO22" s="59" t="s">
        <v>15</v>
      </c>
      <c r="AP22" s="59" t="s">
        <v>15</v>
      </c>
      <c r="AQ22" s="59" t="s">
        <v>16</v>
      </c>
      <c r="AR22" s="59" t="s">
        <v>15</v>
      </c>
      <c r="AS22" s="139">
        <f t="shared" si="2"/>
        <v>0.95</v>
      </c>
      <c r="AT22" s="59" t="s">
        <v>15</v>
      </c>
      <c r="AU22" s="59" t="s">
        <v>15</v>
      </c>
      <c r="AV22" s="59" t="s">
        <v>15</v>
      </c>
      <c r="AW22" s="146" t="s">
        <v>16</v>
      </c>
      <c r="AX22" s="59" t="s">
        <v>15</v>
      </c>
      <c r="AY22" s="59" t="s">
        <v>16</v>
      </c>
      <c r="AZ22" s="59" t="s">
        <v>15</v>
      </c>
      <c r="BA22" s="139">
        <f t="shared" si="3"/>
        <v>0.7142857143</v>
      </c>
      <c r="BB22" s="59" t="s">
        <v>15</v>
      </c>
      <c r="BC22" s="140" t="s">
        <v>15</v>
      </c>
      <c r="BD22" s="140" t="s">
        <v>15</v>
      </c>
      <c r="BE22" s="140" t="s">
        <v>15</v>
      </c>
      <c r="BF22" s="140" t="s">
        <v>15</v>
      </c>
      <c r="BG22" s="152" t="s">
        <v>15</v>
      </c>
      <c r="BH22" s="140" t="s">
        <v>15</v>
      </c>
      <c r="BI22" s="140" t="s">
        <v>15</v>
      </c>
      <c r="BJ22" s="140" t="s">
        <v>15</v>
      </c>
      <c r="BK22" s="140" t="s">
        <v>15</v>
      </c>
      <c r="BL22" s="140" t="s">
        <v>15</v>
      </c>
      <c r="BM22" s="140" t="s">
        <v>15</v>
      </c>
      <c r="BN22" s="65" t="s">
        <v>15</v>
      </c>
      <c r="BO22" s="140" t="s">
        <v>15</v>
      </c>
      <c r="BP22" s="140" t="s">
        <v>15</v>
      </c>
      <c r="BQ22" s="140" t="s">
        <v>15</v>
      </c>
      <c r="BR22" s="140" t="s">
        <v>15</v>
      </c>
      <c r="BS22" s="140" t="s">
        <v>15</v>
      </c>
      <c r="BT22" s="140" t="s">
        <v>15</v>
      </c>
      <c r="BU22" s="140" t="s">
        <v>15</v>
      </c>
      <c r="BV22" s="140" t="s">
        <v>15</v>
      </c>
      <c r="BW22" s="54" t="s">
        <v>15</v>
      </c>
      <c r="BX22" s="22">
        <f t="shared" si="4"/>
        <v>1</v>
      </c>
    </row>
    <row r="23">
      <c r="A23" s="24">
        <v>19.0</v>
      </c>
      <c r="B23" s="81"/>
      <c r="C23" s="153"/>
      <c r="D23" s="80" t="s">
        <v>15</v>
      </c>
      <c r="E23" s="136" t="s">
        <v>15</v>
      </c>
      <c r="F23" s="144" t="s">
        <v>16</v>
      </c>
      <c r="G23" s="59" t="s">
        <v>15</v>
      </c>
      <c r="H23" s="136" t="s">
        <v>15</v>
      </c>
      <c r="I23" s="59" t="s">
        <v>15</v>
      </c>
      <c r="J23" s="59" t="s">
        <v>15</v>
      </c>
      <c r="K23" s="59" t="s">
        <v>15</v>
      </c>
      <c r="L23" s="136" t="s">
        <v>15</v>
      </c>
      <c r="M23" s="59" t="s">
        <v>15</v>
      </c>
      <c r="N23" s="59" t="s">
        <v>15</v>
      </c>
      <c r="O23" s="59" t="s">
        <v>15</v>
      </c>
      <c r="P23" s="59" t="s">
        <v>15</v>
      </c>
      <c r="Q23" s="59" t="s">
        <v>15</v>
      </c>
      <c r="R23" s="59" t="s">
        <v>15</v>
      </c>
      <c r="S23" s="59" t="s">
        <v>15</v>
      </c>
      <c r="T23" s="59" t="s">
        <v>15</v>
      </c>
      <c r="U23" s="59" t="s">
        <v>15</v>
      </c>
      <c r="V23" s="59" t="s">
        <v>15</v>
      </c>
      <c r="W23" s="59" t="s">
        <v>15</v>
      </c>
      <c r="X23" s="138">
        <f t="shared" si="1"/>
        <v>0.95</v>
      </c>
      <c r="Y23" s="59" t="s">
        <v>16</v>
      </c>
      <c r="Z23" s="136" t="s">
        <v>15</v>
      </c>
      <c r="AA23" s="59" t="s">
        <v>15</v>
      </c>
      <c r="AB23" s="136" t="s">
        <v>15</v>
      </c>
      <c r="AC23" s="59" t="s">
        <v>15</v>
      </c>
      <c r="AD23" s="59" t="s">
        <v>15</v>
      </c>
      <c r="AE23" s="59" t="s">
        <v>16</v>
      </c>
      <c r="AF23" s="59" t="s">
        <v>15</v>
      </c>
      <c r="AG23" s="59" t="s">
        <v>16</v>
      </c>
      <c r="AH23" s="59" t="s">
        <v>15</v>
      </c>
      <c r="AI23" s="59" t="s">
        <v>15</v>
      </c>
      <c r="AJ23" s="59" t="s">
        <v>15</v>
      </c>
      <c r="AK23" s="59" t="s">
        <v>16</v>
      </c>
      <c r="AL23" s="59" t="s">
        <v>15</v>
      </c>
      <c r="AM23" s="143" t="s">
        <v>15</v>
      </c>
      <c r="AN23" s="59" t="s">
        <v>15</v>
      </c>
      <c r="AO23" s="59" t="s">
        <v>15</v>
      </c>
      <c r="AP23" s="59" t="s">
        <v>15</v>
      </c>
      <c r="AQ23" s="59" t="s">
        <v>16</v>
      </c>
      <c r="AR23" s="59" t="s">
        <v>15</v>
      </c>
      <c r="AS23" s="139">
        <f t="shared" si="2"/>
        <v>0.75</v>
      </c>
      <c r="AT23" s="59" t="s">
        <v>15</v>
      </c>
      <c r="AU23" s="59" t="s">
        <v>16</v>
      </c>
      <c r="AV23" s="59" t="s">
        <v>15</v>
      </c>
      <c r="AW23" s="59" t="s">
        <v>15</v>
      </c>
      <c r="AX23" s="59" t="s">
        <v>15</v>
      </c>
      <c r="AY23" s="59" t="s">
        <v>16</v>
      </c>
      <c r="AZ23" s="59" t="s">
        <v>15</v>
      </c>
      <c r="BA23" s="139">
        <f t="shared" si="3"/>
        <v>0.7142857143</v>
      </c>
      <c r="BB23" s="59" t="s">
        <v>15</v>
      </c>
      <c r="BC23" s="140" t="s">
        <v>15</v>
      </c>
      <c r="BD23" s="140" t="s">
        <v>15</v>
      </c>
      <c r="BE23" s="140" t="s">
        <v>15</v>
      </c>
      <c r="BF23" s="140" t="s">
        <v>15</v>
      </c>
      <c r="BG23" s="152" t="s">
        <v>15</v>
      </c>
      <c r="BH23" s="140" t="s">
        <v>15</v>
      </c>
      <c r="BI23" s="140" t="s">
        <v>15</v>
      </c>
      <c r="BJ23" s="140" t="s">
        <v>15</v>
      </c>
      <c r="BK23" s="140" t="s">
        <v>15</v>
      </c>
      <c r="BL23" s="140" t="s">
        <v>15</v>
      </c>
      <c r="BM23" s="140" t="s">
        <v>15</v>
      </c>
      <c r="BN23" s="65" t="s">
        <v>15</v>
      </c>
      <c r="BO23" s="140" t="s">
        <v>15</v>
      </c>
      <c r="BP23" s="140" t="s">
        <v>15</v>
      </c>
      <c r="BQ23" s="140" t="s">
        <v>15</v>
      </c>
      <c r="BR23" s="140" t="s">
        <v>15</v>
      </c>
      <c r="BS23" s="140" t="s">
        <v>15</v>
      </c>
      <c r="BT23" s="140" t="s">
        <v>15</v>
      </c>
      <c r="BU23" s="140" t="s">
        <v>16</v>
      </c>
      <c r="BV23" s="140" t="s">
        <v>16</v>
      </c>
      <c r="BW23" s="54" t="s">
        <v>15</v>
      </c>
      <c r="BX23" s="22">
        <f t="shared" si="4"/>
        <v>0.9090909091</v>
      </c>
    </row>
    <row r="24">
      <c r="A24" s="24">
        <v>20.0</v>
      </c>
      <c r="B24" s="62"/>
      <c r="C24" s="58"/>
      <c r="D24" s="59" t="s">
        <v>15</v>
      </c>
      <c r="E24" s="136" t="s">
        <v>15</v>
      </c>
      <c r="F24" s="144" t="s">
        <v>16</v>
      </c>
      <c r="G24" s="59" t="s">
        <v>15</v>
      </c>
      <c r="H24" s="136" t="s">
        <v>15</v>
      </c>
      <c r="I24" s="59" t="s">
        <v>15</v>
      </c>
      <c r="J24" s="59" t="s">
        <v>15</v>
      </c>
      <c r="K24" s="59" t="s">
        <v>15</v>
      </c>
      <c r="L24" s="136" t="s">
        <v>15</v>
      </c>
      <c r="M24" s="59" t="s">
        <v>15</v>
      </c>
      <c r="N24" s="59" t="s">
        <v>15</v>
      </c>
      <c r="O24" s="59" t="s">
        <v>15</v>
      </c>
      <c r="P24" s="59" t="s">
        <v>15</v>
      </c>
      <c r="Q24" s="59" t="s">
        <v>15</v>
      </c>
      <c r="R24" s="59" t="s">
        <v>15</v>
      </c>
      <c r="S24" s="59" t="s">
        <v>15</v>
      </c>
      <c r="T24" s="59" t="s">
        <v>15</v>
      </c>
      <c r="U24" s="59" t="s">
        <v>15</v>
      </c>
      <c r="V24" s="59" t="s">
        <v>15</v>
      </c>
      <c r="W24" s="59" t="s">
        <v>15</v>
      </c>
      <c r="X24" s="138">
        <f t="shared" si="1"/>
        <v>0.95</v>
      </c>
      <c r="Y24" s="59" t="s">
        <v>15</v>
      </c>
      <c r="Z24" s="136" t="s">
        <v>15</v>
      </c>
      <c r="AA24" s="59" t="s">
        <v>15</v>
      </c>
      <c r="AB24" s="136" t="s">
        <v>15</v>
      </c>
      <c r="AC24" s="59" t="s">
        <v>15</v>
      </c>
      <c r="AD24" s="59" t="s">
        <v>15</v>
      </c>
      <c r="AE24" s="59" t="s">
        <v>15</v>
      </c>
      <c r="AF24" s="59" t="s">
        <v>15</v>
      </c>
      <c r="AG24" s="59" t="s">
        <v>15</v>
      </c>
      <c r="AH24" s="59" t="s">
        <v>15</v>
      </c>
      <c r="AI24" s="59" t="s">
        <v>15</v>
      </c>
      <c r="AJ24" s="59" t="s">
        <v>15</v>
      </c>
      <c r="AK24" s="59" t="s">
        <v>15</v>
      </c>
      <c r="AL24" s="59" t="s">
        <v>15</v>
      </c>
      <c r="AM24" s="143" t="s">
        <v>15</v>
      </c>
      <c r="AN24" s="59" t="s">
        <v>16</v>
      </c>
      <c r="AO24" s="59" t="s">
        <v>15</v>
      </c>
      <c r="AP24" s="59" t="s">
        <v>15</v>
      </c>
      <c r="AQ24" s="59" t="s">
        <v>15</v>
      </c>
      <c r="AR24" s="59" t="s">
        <v>15</v>
      </c>
      <c r="AS24" s="139">
        <f t="shared" si="2"/>
        <v>0.95</v>
      </c>
      <c r="AT24" s="59" t="s">
        <v>15</v>
      </c>
      <c r="AU24" s="59" t="s">
        <v>15</v>
      </c>
      <c r="AV24" s="59" t="s">
        <v>15</v>
      </c>
      <c r="AW24" s="59" t="s">
        <v>15</v>
      </c>
      <c r="AX24" s="59" t="s">
        <v>15</v>
      </c>
      <c r="AY24" s="59" t="s">
        <v>15</v>
      </c>
      <c r="AZ24" s="59" t="s">
        <v>15</v>
      </c>
      <c r="BA24" s="139">
        <f t="shared" si="3"/>
        <v>1</v>
      </c>
      <c r="BB24" s="140" t="s">
        <v>16</v>
      </c>
      <c r="BC24" s="140" t="s">
        <v>15</v>
      </c>
      <c r="BD24" s="140" t="s">
        <v>15</v>
      </c>
      <c r="BE24" s="140" t="s">
        <v>15</v>
      </c>
      <c r="BF24" s="140" t="s">
        <v>15</v>
      </c>
      <c r="BG24" s="152" t="s">
        <v>15</v>
      </c>
      <c r="BH24" s="140" t="s">
        <v>15</v>
      </c>
      <c r="BI24" s="140" t="s">
        <v>15</v>
      </c>
      <c r="BJ24" s="140" t="s">
        <v>15</v>
      </c>
      <c r="BK24" s="140" t="s">
        <v>15</v>
      </c>
      <c r="BL24" s="140" t="s">
        <v>15</v>
      </c>
      <c r="BM24" s="140" t="s">
        <v>15</v>
      </c>
      <c r="BN24" s="65" t="s">
        <v>15</v>
      </c>
      <c r="BO24" s="140" t="s">
        <v>15</v>
      </c>
      <c r="BP24" s="140" t="s">
        <v>15</v>
      </c>
      <c r="BQ24" s="140" t="s">
        <v>15</v>
      </c>
      <c r="BR24" s="140" t="s">
        <v>15</v>
      </c>
      <c r="BS24" s="140" t="s">
        <v>15</v>
      </c>
      <c r="BT24" s="140" t="s">
        <v>15</v>
      </c>
      <c r="BU24" s="140" t="s">
        <v>16</v>
      </c>
      <c r="BV24" s="140" t="s">
        <v>15</v>
      </c>
      <c r="BW24" s="54" t="s">
        <v>15</v>
      </c>
      <c r="BX24" s="22">
        <f t="shared" si="4"/>
        <v>0.9090909091</v>
      </c>
    </row>
    <row r="25">
      <c r="A25" s="24">
        <v>21.0</v>
      </c>
      <c r="B25" s="81"/>
      <c r="C25" s="58"/>
      <c r="D25" s="59" t="s">
        <v>15</v>
      </c>
      <c r="E25" s="136" t="s">
        <v>15</v>
      </c>
      <c r="F25" s="144" t="s">
        <v>16</v>
      </c>
      <c r="G25" s="59" t="s">
        <v>15</v>
      </c>
      <c r="H25" s="136" t="s">
        <v>15</v>
      </c>
      <c r="I25" s="59" t="s">
        <v>16</v>
      </c>
      <c r="J25" s="59" t="s">
        <v>15</v>
      </c>
      <c r="K25" s="59" t="s">
        <v>15</v>
      </c>
      <c r="L25" s="136" t="s">
        <v>15</v>
      </c>
      <c r="M25" s="59" t="s">
        <v>15</v>
      </c>
      <c r="N25" s="59" t="s">
        <v>15</v>
      </c>
      <c r="O25" s="59" t="s">
        <v>15</v>
      </c>
      <c r="P25" s="59" t="s">
        <v>15</v>
      </c>
      <c r="Q25" s="59" t="s">
        <v>15</v>
      </c>
      <c r="R25" s="59" t="s">
        <v>15</v>
      </c>
      <c r="S25" s="59" t="s">
        <v>15</v>
      </c>
      <c r="T25" s="59" t="s">
        <v>15</v>
      </c>
      <c r="U25" s="59" t="s">
        <v>15</v>
      </c>
      <c r="V25" s="59" t="s">
        <v>15</v>
      </c>
      <c r="W25" s="59" t="s">
        <v>15</v>
      </c>
      <c r="X25" s="138">
        <f t="shared" si="1"/>
        <v>0.9</v>
      </c>
      <c r="Y25" s="59" t="s">
        <v>15</v>
      </c>
      <c r="Z25" s="136" t="s">
        <v>15</v>
      </c>
      <c r="AA25" s="59" t="s">
        <v>15</v>
      </c>
      <c r="AB25" s="136" t="s">
        <v>15</v>
      </c>
      <c r="AC25" s="59" t="s">
        <v>15</v>
      </c>
      <c r="AD25" s="59" t="s">
        <v>15</v>
      </c>
      <c r="AE25" s="59" t="s">
        <v>15</v>
      </c>
      <c r="AF25" s="59" t="s">
        <v>15</v>
      </c>
      <c r="AG25" s="59" t="s">
        <v>15</v>
      </c>
      <c r="AH25" s="59" t="s">
        <v>16</v>
      </c>
      <c r="AI25" s="59" t="s">
        <v>15</v>
      </c>
      <c r="AJ25" s="59" t="s">
        <v>15</v>
      </c>
      <c r="AK25" s="59" t="s">
        <v>15</v>
      </c>
      <c r="AL25" s="59" t="s">
        <v>15</v>
      </c>
      <c r="AM25" s="143" t="s">
        <v>15</v>
      </c>
      <c r="AN25" s="59" t="s">
        <v>16</v>
      </c>
      <c r="AO25" s="59" t="s">
        <v>15</v>
      </c>
      <c r="AP25" s="59" t="s">
        <v>16</v>
      </c>
      <c r="AQ25" s="59" t="s">
        <v>15</v>
      </c>
      <c r="AR25" s="59" t="s">
        <v>16</v>
      </c>
      <c r="AS25" s="139">
        <f t="shared" si="2"/>
        <v>0.8</v>
      </c>
      <c r="AT25" s="59" t="s">
        <v>15</v>
      </c>
      <c r="AU25" s="59" t="s">
        <v>16</v>
      </c>
      <c r="AV25" s="59" t="s">
        <v>15</v>
      </c>
      <c r="AW25" s="59" t="s">
        <v>15</v>
      </c>
      <c r="AX25" s="59" t="s">
        <v>15</v>
      </c>
      <c r="AY25" s="59" t="s">
        <v>15</v>
      </c>
      <c r="AZ25" s="59" t="s">
        <v>15</v>
      </c>
      <c r="BA25" s="139">
        <f t="shared" si="3"/>
        <v>0.8571428571</v>
      </c>
      <c r="BB25" s="59" t="s">
        <v>15</v>
      </c>
      <c r="BC25" s="140" t="s">
        <v>15</v>
      </c>
      <c r="BD25" s="140" t="s">
        <v>15</v>
      </c>
      <c r="BE25" s="140" t="s">
        <v>15</v>
      </c>
      <c r="BF25" s="140" t="s">
        <v>15</v>
      </c>
      <c r="BG25" s="152" t="s">
        <v>15</v>
      </c>
      <c r="BH25" s="140" t="s">
        <v>15</v>
      </c>
      <c r="BI25" s="140" t="s">
        <v>15</v>
      </c>
      <c r="BJ25" s="140" t="s">
        <v>15</v>
      </c>
      <c r="BK25" s="140" t="s">
        <v>15</v>
      </c>
      <c r="BL25" s="140" t="s">
        <v>15</v>
      </c>
      <c r="BM25" s="140" t="s">
        <v>15</v>
      </c>
      <c r="BN25" s="65" t="s">
        <v>15</v>
      </c>
      <c r="BO25" s="140" t="s">
        <v>15</v>
      </c>
      <c r="BP25" s="140" t="s">
        <v>15</v>
      </c>
      <c r="BQ25" s="140" t="s">
        <v>15</v>
      </c>
      <c r="BR25" s="140" t="s">
        <v>15</v>
      </c>
      <c r="BS25" s="140" t="s">
        <v>15</v>
      </c>
      <c r="BT25" s="140" t="s">
        <v>15</v>
      </c>
      <c r="BU25" s="140" t="s">
        <v>15</v>
      </c>
      <c r="BV25" s="140" t="s">
        <v>15</v>
      </c>
      <c r="BW25" s="54" t="s">
        <v>15</v>
      </c>
      <c r="BX25" s="22">
        <f t="shared" si="4"/>
        <v>1</v>
      </c>
    </row>
    <row r="26">
      <c r="A26" s="24">
        <v>22.0</v>
      </c>
      <c r="B26" s="62"/>
      <c r="C26" s="26"/>
      <c r="D26" s="59" t="s">
        <v>15</v>
      </c>
      <c r="E26" s="136" t="s">
        <v>15</v>
      </c>
      <c r="F26" s="142" t="s">
        <v>15</v>
      </c>
      <c r="G26" s="59" t="s">
        <v>15</v>
      </c>
      <c r="H26" s="136" t="s">
        <v>15</v>
      </c>
      <c r="I26" s="59" t="s">
        <v>15</v>
      </c>
      <c r="J26" s="59" t="s">
        <v>15</v>
      </c>
      <c r="K26" s="59" t="s">
        <v>15</v>
      </c>
      <c r="L26" s="136" t="s">
        <v>15</v>
      </c>
      <c r="M26" s="59" t="s">
        <v>15</v>
      </c>
      <c r="N26" s="59" t="s">
        <v>15</v>
      </c>
      <c r="O26" s="59" t="s">
        <v>15</v>
      </c>
      <c r="P26" s="59" t="s">
        <v>15</v>
      </c>
      <c r="Q26" s="59" t="s">
        <v>15</v>
      </c>
      <c r="R26" s="59" t="s">
        <v>15</v>
      </c>
      <c r="S26" s="59" t="s">
        <v>15</v>
      </c>
      <c r="T26" s="59" t="s">
        <v>15</v>
      </c>
      <c r="U26" s="59" t="s">
        <v>15</v>
      </c>
      <c r="V26" s="59" t="s">
        <v>15</v>
      </c>
      <c r="W26" s="59" t="s">
        <v>15</v>
      </c>
      <c r="X26" s="138">
        <f t="shared" si="1"/>
        <v>1</v>
      </c>
      <c r="Y26" s="59" t="s">
        <v>16</v>
      </c>
      <c r="Z26" s="145" t="s">
        <v>16</v>
      </c>
      <c r="AA26" s="59" t="s">
        <v>15</v>
      </c>
      <c r="AB26" s="136" t="s">
        <v>15</v>
      </c>
      <c r="AC26" s="59" t="s">
        <v>15</v>
      </c>
      <c r="AD26" s="59" t="s">
        <v>15</v>
      </c>
      <c r="AE26" s="59" t="s">
        <v>15</v>
      </c>
      <c r="AF26" s="59" t="s">
        <v>15</v>
      </c>
      <c r="AG26" s="59" t="s">
        <v>15</v>
      </c>
      <c r="AH26" s="59" t="s">
        <v>15</v>
      </c>
      <c r="AI26" s="59" t="s">
        <v>15</v>
      </c>
      <c r="AJ26" s="59" t="s">
        <v>15</v>
      </c>
      <c r="AK26" s="59" t="s">
        <v>15</v>
      </c>
      <c r="AL26" s="59" t="s">
        <v>15</v>
      </c>
      <c r="AM26" s="143" t="s">
        <v>15</v>
      </c>
      <c r="AN26" s="59" t="s">
        <v>16</v>
      </c>
      <c r="AO26" s="59" t="s">
        <v>15</v>
      </c>
      <c r="AP26" s="59" t="s">
        <v>15</v>
      </c>
      <c r="AQ26" s="59" t="s">
        <v>15</v>
      </c>
      <c r="AR26" s="59" t="s">
        <v>15</v>
      </c>
      <c r="AS26" s="139">
        <f t="shared" si="2"/>
        <v>0.85</v>
      </c>
      <c r="AT26" s="59" t="s">
        <v>15</v>
      </c>
      <c r="AU26" s="59" t="s">
        <v>15</v>
      </c>
      <c r="AV26" s="59" t="s">
        <v>15</v>
      </c>
      <c r="AW26" s="59" t="s">
        <v>15</v>
      </c>
      <c r="AX26" s="59" t="s">
        <v>15</v>
      </c>
      <c r="AY26" s="59" t="s">
        <v>15</v>
      </c>
      <c r="AZ26" s="59" t="s">
        <v>15</v>
      </c>
      <c r="BA26" s="139">
        <f t="shared" si="3"/>
        <v>1</v>
      </c>
      <c r="BB26" s="59" t="s">
        <v>15</v>
      </c>
      <c r="BC26" s="140" t="s">
        <v>15</v>
      </c>
      <c r="BD26" s="140" t="s">
        <v>15</v>
      </c>
      <c r="BE26" s="140" t="s">
        <v>15</v>
      </c>
      <c r="BF26" s="140" t="s">
        <v>15</v>
      </c>
      <c r="BG26" s="140" t="s">
        <v>15</v>
      </c>
      <c r="BH26" s="155" t="s">
        <v>16</v>
      </c>
      <c r="BI26" s="155" t="s">
        <v>15</v>
      </c>
      <c r="BJ26" s="155" t="s">
        <v>15</v>
      </c>
      <c r="BK26" s="155" t="s">
        <v>15</v>
      </c>
      <c r="BL26" s="140" t="s">
        <v>15</v>
      </c>
      <c r="BM26" s="140" t="s">
        <v>15</v>
      </c>
      <c r="BN26" s="65" t="s">
        <v>15</v>
      </c>
      <c r="BO26" s="156" t="s">
        <v>15</v>
      </c>
      <c r="BP26" s="156" t="s">
        <v>15</v>
      </c>
      <c r="BQ26" s="140" t="s">
        <v>15</v>
      </c>
      <c r="BR26" s="140" t="s">
        <v>15</v>
      </c>
      <c r="BS26" s="140" t="s">
        <v>15</v>
      </c>
      <c r="BT26" s="140" t="s">
        <v>15</v>
      </c>
      <c r="BU26" s="140" t="s">
        <v>15</v>
      </c>
      <c r="BV26" s="140" t="s">
        <v>15</v>
      </c>
      <c r="BW26" s="54" t="s">
        <v>15</v>
      </c>
      <c r="BX26" s="22">
        <f t="shared" si="4"/>
        <v>0.9545454545</v>
      </c>
    </row>
    <row r="27">
      <c r="A27" s="24">
        <v>23.0</v>
      </c>
      <c r="B27" s="81"/>
      <c r="C27" s="26"/>
      <c r="D27" s="59" t="s">
        <v>16</v>
      </c>
      <c r="E27" s="70" t="s">
        <v>16</v>
      </c>
      <c r="F27" s="144" t="s">
        <v>16</v>
      </c>
      <c r="G27" s="59" t="s">
        <v>15</v>
      </c>
      <c r="H27" s="136" t="s">
        <v>15</v>
      </c>
      <c r="I27" s="59" t="s">
        <v>15</v>
      </c>
      <c r="J27" s="59" t="s">
        <v>15</v>
      </c>
      <c r="K27" s="59" t="s">
        <v>15</v>
      </c>
      <c r="L27" s="136" t="s">
        <v>15</v>
      </c>
      <c r="M27" s="59" t="s">
        <v>15</v>
      </c>
      <c r="N27" s="59" t="s">
        <v>15</v>
      </c>
      <c r="O27" s="59" t="s">
        <v>15</v>
      </c>
      <c r="P27" s="59" t="s">
        <v>15</v>
      </c>
      <c r="Q27" s="59" t="s">
        <v>15</v>
      </c>
      <c r="R27" s="59" t="s">
        <v>15</v>
      </c>
      <c r="S27" s="59" t="s">
        <v>15</v>
      </c>
      <c r="T27" s="59" t="s">
        <v>15</v>
      </c>
      <c r="U27" s="59" t="s">
        <v>15</v>
      </c>
      <c r="V27" s="59" t="s">
        <v>15</v>
      </c>
      <c r="W27" s="59" t="s">
        <v>15</v>
      </c>
      <c r="X27" s="138">
        <f t="shared" si="1"/>
        <v>0.85</v>
      </c>
      <c r="Y27" s="59" t="s">
        <v>15</v>
      </c>
      <c r="Z27" s="136" t="s">
        <v>15</v>
      </c>
      <c r="AA27" s="59" t="s">
        <v>15</v>
      </c>
      <c r="AB27" s="136" t="s">
        <v>15</v>
      </c>
      <c r="AC27" s="59" t="s">
        <v>15</v>
      </c>
      <c r="AD27" s="59" t="s">
        <v>15</v>
      </c>
      <c r="AE27" s="59" t="s">
        <v>15</v>
      </c>
      <c r="AF27" s="59" t="s">
        <v>15</v>
      </c>
      <c r="AG27" s="59" t="s">
        <v>16</v>
      </c>
      <c r="AH27" s="59" t="s">
        <v>15</v>
      </c>
      <c r="AI27" s="59" t="s">
        <v>15</v>
      </c>
      <c r="AJ27" s="59" t="s">
        <v>15</v>
      </c>
      <c r="AK27" s="59" t="s">
        <v>15</v>
      </c>
      <c r="AL27" s="59" t="s">
        <v>15</v>
      </c>
      <c r="AM27" s="143" t="s">
        <v>15</v>
      </c>
      <c r="AN27" s="59" t="s">
        <v>15</v>
      </c>
      <c r="AO27" s="59" t="s">
        <v>15</v>
      </c>
      <c r="AP27" s="59" t="s">
        <v>15</v>
      </c>
      <c r="AQ27" s="59" t="s">
        <v>15</v>
      </c>
      <c r="AR27" s="59" t="s">
        <v>15</v>
      </c>
      <c r="AS27" s="139">
        <f t="shared" si="2"/>
        <v>0.95</v>
      </c>
      <c r="AT27" s="59" t="s">
        <v>15</v>
      </c>
      <c r="AU27" s="59" t="s">
        <v>16</v>
      </c>
      <c r="AV27" s="59" t="s">
        <v>15</v>
      </c>
      <c r="AW27" s="146" t="s">
        <v>16</v>
      </c>
      <c r="AX27" s="59" t="s">
        <v>15</v>
      </c>
      <c r="AY27" s="59" t="s">
        <v>15</v>
      </c>
      <c r="AZ27" s="59" t="s">
        <v>15</v>
      </c>
      <c r="BA27" s="139">
        <f t="shared" si="3"/>
        <v>0.7142857143</v>
      </c>
      <c r="BB27" s="59" t="s">
        <v>15</v>
      </c>
      <c r="BC27" s="140" t="s">
        <v>15</v>
      </c>
      <c r="BD27" s="140" t="s">
        <v>15</v>
      </c>
      <c r="BE27" s="140" t="s">
        <v>15</v>
      </c>
      <c r="BF27" s="140" t="s">
        <v>15</v>
      </c>
      <c r="BG27" s="155" t="s">
        <v>15</v>
      </c>
      <c r="BH27" s="155" t="s">
        <v>16</v>
      </c>
      <c r="BI27" s="155" t="s">
        <v>15</v>
      </c>
      <c r="BJ27" s="155" t="s">
        <v>15</v>
      </c>
      <c r="BK27" s="155" t="s">
        <v>15</v>
      </c>
      <c r="BL27" s="140" t="s">
        <v>15</v>
      </c>
      <c r="BM27" s="140" t="s">
        <v>15</v>
      </c>
      <c r="BN27" s="71" t="s">
        <v>15</v>
      </c>
      <c r="BO27" s="156" t="s">
        <v>15</v>
      </c>
      <c r="BP27" s="156" t="s">
        <v>15</v>
      </c>
      <c r="BQ27" s="140" t="s">
        <v>15</v>
      </c>
      <c r="BR27" s="140" t="s">
        <v>15</v>
      </c>
      <c r="BS27" s="140" t="s">
        <v>15</v>
      </c>
      <c r="BT27" s="140" t="s">
        <v>15</v>
      </c>
      <c r="BU27" s="140" t="s">
        <v>15</v>
      </c>
      <c r="BV27" s="140" t="s">
        <v>15</v>
      </c>
      <c r="BW27" s="106" t="s">
        <v>16</v>
      </c>
      <c r="BX27" s="22">
        <f t="shared" si="4"/>
        <v>0.9090909091</v>
      </c>
    </row>
    <row r="28">
      <c r="A28" s="24">
        <v>24.0</v>
      </c>
      <c r="B28" s="62"/>
      <c r="C28" s="26"/>
      <c r="D28" s="59" t="s">
        <v>16</v>
      </c>
      <c r="E28" s="70" t="s">
        <v>16</v>
      </c>
      <c r="F28" s="144" t="s">
        <v>16</v>
      </c>
      <c r="G28" s="59" t="s">
        <v>15</v>
      </c>
      <c r="H28" s="136" t="s">
        <v>15</v>
      </c>
      <c r="I28" s="59" t="s">
        <v>15</v>
      </c>
      <c r="J28" s="59" t="s">
        <v>15</v>
      </c>
      <c r="K28" s="59" t="s">
        <v>15</v>
      </c>
      <c r="L28" s="136" t="s">
        <v>15</v>
      </c>
      <c r="M28" s="59" t="s">
        <v>15</v>
      </c>
      <c r="N28" s="59" t="s">
        <v>15</v>
      </c>
      <c r="O28" s="59" t="s">
        <v>15</v>
      </c>
      <c r="P28" s="59" t="s">
        <v>15</v>
      </c>
      <c r="Q28" s="59" t="s">
        <v>15</v>
      </c>
      <c r="R28" s="59" t="s">
        <v>15</v>
      </c>
      <c r="S28" s="59" t="s">
        <v>15</v>
      </c>
      <c r="T28" s="59" t="s">
        <v>15</v>
      </c>
      <c r="U28" s="59" t="s">
        <v>16</v>
      </c>
      <c r="V28" s="59" t="s">
        <v>15</v>
      </c>
      <c r="W28" s="59" t="s">
        <v>15</v>
      </c>
      <c r="X28" s="138">
        <f t="shared" si="1"/>
        <v>0.8</v>
      </c>
      <c r="Y28" s="59" t="s">
        <v>15</v>
      </c>
      <c r="Z28" s="136" t="s">
        <v>15</v>
      </c>
      <c r="AA28" s="59" t="s">
        <v>15</v>
      </c>
      <c r="AB28" s="136" t="s">
        <v>15</v>
      </c>
      <c r="AC28" s="59" t="s">
        <v>15</v>
      </c>
      <c r="AD28" s="59" t="s">
        <v>15</v>
      </c>
      <c r="AE28" s="59" t="s">
        <v>15</v>
      </c>
      <c r="AF28" s="59" t="s">
        <v>15</v>
      </c>
      <c r="AG28" s="59" t="s">
        <v>15</v>
      </c>
      <c r="AH28" s="59" t="s">
        <v>15</v>
      </c>
      <c r="AI28" s="59" t="s">
        <v>16</v>
      </c>
      <c r="AJ28" s="59" t="s">
        <v>15</v>
      </c>
      <c r="AK28" s="59" t="s">
        <v>15</v>
      </c>
      <c r="AL28" s="59" t="s">
        <v>15</v>
      </c>
      <c r="AM28" s="143" t="s">
        <v>15</v>
      </c>
      <c r="AN28" s="59" t="s">
        <v>15</v>
      </c>
      <c r="AO28" s="59" t="s">
        <v>15</v>
      </c>
      <c r="AP28" s="59" t="s">
        <v>15</v>
      </c>
      <c r="AQ28" s="59" t="s">
        <v>16</v>
      </c>
      <c r="AR28" s="59" t="s">
        <v>15</v>
      </c>
      <c r="AS28" s="139">
        <f t="shared" si="2"/>
        <v>0.9</v>
      </c>
      <c r="AT28" s="59" t="s">
        <v>15</v>
      </c>
      <c r="AU28" s="59" t="s">
        <v>15</v>
      </c>
      <c r="AV28" s="59" t="s">
        <v>15</v>
      </c>
      <c r="AW28" s="59" t="s">
        <v>15</v>
      </c>
      <c r="AX28" s="59" t="s">
        <v>15</v>
      </c>
      <c r="AY28" s="59" t="s">
        <v>15</v>
      </c>
      <c r="AZ28" s="59" t="s">
        <v>15</v>
      </c>
      <c r="BA28" s="139">
        <f t="shared" si="3"/>
        <v>1</v>
      </c>
      <c r="BB28" s="59" t="s">
        <v>15</v>
      </c>
      <c r="BC28" s="140" t="s">
        <v>15</v>
      </c>
      <c r="BD28" s="140" t="s">
        <v>15</v>
      </c>
      <c r="BE28" s="140" t="s">
        <v>15</v>
      </c>
      <c r="BF28" s="140" t="s">
        <v>15</v>
      </c>
      <c r="BG28" s="155" t="s">
        <v>15</v>
      </c>
      <c r="BH28" s="155" t="s">
        <v>15</v>
      </c>
      <c r="BI28" s="155" t="s">
        <v>15</v>
      </c>
      <c r="BJ28" s="155" t="s">
        <v>15</v>
      </c>
      <c r="BK28" s="155" t="s">
        <v>15</v>
      </c>
      <c r="BL28" s="140" t="s">
        <v>15</v>
      </c>
      <c r="BM28" s="140" t="s">
        <v>15</v>
      </c>
      <c r="BN28" s="65" t="s">
        <v>15</v>
      </c>
      <c r="BO28" s="156" t="s">
        <v>15</v>
      </c>
      <c r="BP28" s="156" t="s">
        <v>15</v>
      </c>
      <c r="BQ28" s="140" t="s">
        <v>15</v>
      </c>
      <c r="BR28" s="140" t="s">
        <v>15</v>
      </c>
      <c r="BS28" s="140" t="s">
        <v>15</v>
      </c>
      <c r="BT28" s="140" t="s">
        <v>15</v>
      </c>
      <c r="BU28" s="140" t="s">
        <v>15</v>
      </c>
      <c r="BV28" s="140" t="s">
        <v>16</v>
      </c>
      <c r="BW28" s="54" t="s">
        <v>15</v>
      </c>
      <c r="BX28" s="22">
        <f t="shared" si="4"/>
        <v>0.9545454545</v>
      </c>
    </row>
    <row r="29">
      <c r="A29" s="24">
        <v>25.0</v>
      </c>
      <c r="B29" s="81"/>
      <c r="C29" s="113"/>
      <c r="D29" s="59" t="s">
        <v>15</v>
      </c>
      <c r="E29" s="136" t="s">
        <v>15</v>
      </c>
      <c r="F29" s="142" t="s">
        <v>15</v>
      </c>
      <c r="G29" s="59" t="s">
        <v>15</v>
      </c>
      <c r="H29" s="136" t="s">
        <v>15</v>
      </c>
      <c r="I29" s="59" t="s">
        <v>15</v>
      </c>
      <c r="J29" s="59" t="s">
        <v>15</v>
      </c>
      <c r="K29" s="59" t="s">
        <v>15</v>
      </c>
      <c r="L29" s="136" t="s">
        <v>15</v>
      </c>
      <c r="M29" s="59" t="s">
        <v>15</v>
      </c>
      <c r="N29" s="59" t="s">
        <v>15</v>
      </c>
      <c r="O29" s="59" t="s">
        <v>15</v>
      </c>
      <c r="P29" s="59" t="s">
        <v>15</v>
      </c>
      <c r="Q29" s="59" t="s">
        <v>15</v>
      </c>
      <c r="R29" s="59" t="s">
        <v>16</v>
      </c>
      <c r="S29" s="59" t="s">
        <v>15</v>
      </c>
      <c r="T29" s="59" t="s">
        <v>15</v>
      </c>
      <c r="U29" s="59" t="s">
        <v>15</v>
      </c>
      <c r="V29" s="59" t="s">
        <v>15</v>
      </c>
      <c r="W29" s="59" t="s">
        <v>15</v>
      </c>
      <c r="X29" s="138">
        <f t="shared" si="1"/>
        <v>0.95</v>
      </c>
      <c r="Y29" s="59" t="s">
        <v>16</v>
      </c>
      <c r="Z29" s="145" t="s">
        <v>16</v>
      </c>
      <c r="AA29" s="59" t="s">
        <v>16</v>
      </c>
      <c r="AB29" s="59" t="s">
        <v>16</v>
      </c>
      <c r="AC29" s="59" t="s">
        <v>16</v>
      </c>
      <c r="AD29" s="59" t="s">
        <v>16</v>
      </c>
      <c r="AE29" s="59" t="s">
        <v>16</v>
      </c>
      <c r="AF29" s="59" t="s">
        <v>16</v>
      </c>
      <c r="AG29" s="59" t="s">
        <v>16</v>
      </c>
      <c r="AH29" s="59" t="s">
        <v>16</v>
      </c>
      <c r="AI29" s="59" t="s">
        <v>16</v>
      </c>
      <c r="AJ29" s="59" t="s">
        <v>16</v>
      </c>
      <c r="AK29" s="59" t="s">
        <v>16</v>
      </c>
      <c r="AL29" s="59" t="s">
        <v>16</v>
      </c>
      <c r="AM29" s="59" t="s">
        <v>16</v>
      </c>
      <c r="AN29" s="59" t="s">
        <v>16</v>
      </c>
      <c r="AO29" s="59" t="s">
        <v>16</v>
      </c>
      <c r="AP29" s="59" t="s">
        <v>16</v>
      </c>
      <c r="AQ29" s="59" t="s">
        <v>16</v>
      </c>
      <c r="AR29" s="59" t="s">
        <v>16</v>
      </c>
      <c r="AS29" s="139">
        <f t="shared" si="2"/>
        <v>0</v>
      </c>
      <c r="AT29" s="59" t="s">
        <v>16</v>
      </c>
      <c r="AU29" s="59" t="s">
        <v>16</v>
      </c>
      <c r="AV29" s="59" t="s">
        <v>16</v>
      </c>
      <c r="AW29" s="59" t="s">
        <v>15</v>
      </c>
      <c r="AX29" s="59" t="s">
        <v>15</v>
      </c>
      <c r="AY29" s="59" t="s">
        <v>15</v>
      </c>
      <c r="AZ29" s="59" t="s">
        <v>15</v>
      </c>
      <c r="BA29" s="139">
        <f t="shared" si="3"/>
        <v>0.5714285714</v>
      </c>
      <c r="BB29" s="59" t="s">
        <v>15</v>
      </c>
      <c r="BC29" s="140" t="s">
        <v>15</v>
      </c>
      <c r="BD29" s="140" t="s">
        <v>15</v>
      </c>
      <c r="BE29" s="140" t="s">
        <v>15</v>
      </c>
      <c r="BF29" s="140" t="s">
        <v>15</v>
      </c>
      <c r="BG29" s="155" t="s">
        <v>15</v>
      </c>
      <c r="BH29" s="155" t="s">
        <v>15</v>
      </c>
      <c r="BI29" s="155" t="s">
        <v>16</v>
      </c>
      <c r="BJ29" s="155" t="s">
        <v>15</v>
      </c>
      <c r="BK29" s="155" t="s">
        <v>15</v>
      </c>
      <c r="BL29" s="140" t="s">
        <v>15</v>
      </c>
      <c r="BM29" s="140" t="s">
        <v>15</v>
      </c>
      <c r="BN29" s="51" t="s">
        <v>16</v>
      </c>
      <c r="BO29" s="165" t="s">
        <v>15</v>
      </c>
      <c r="BP29" s="165" t="s">
        <v>15</v>
      </c>
      <c r="BQ29" s="140" t="s">
        <v>15</v>
      </c>
      <c r="BR29" s="140" t="s">
        <v>15</v>
      </c>
      <c r="BS29" s="140" t="s">
        <v>15</v>
      </c>
      <c r="BT29" s="140" t="s">
        <v>15</v>
      </c>
      <c r="BU29" s="140" t="s">
        <v>15</v>
      </c>
      <c r="BV29" s="140" t="s">
        <v>15</v>
      </c>
      <c r="BW29" s="54" t="s">
        <v>15</v>
      </c>
      <c r="BX29" s="22">
        <f t="shared" si="4"/>
        <v>0.9090909091</v>
      </c>
    </row>
    <row r="30">
      <c r="A30" s="16">
        <v>26.0</v>
      </c>
      <c r="B30" s="81"/>
      <c r="C30" s="63"/>
      <c r="D30" s="59" t="s">
        <v>16</v>
      </c>
      <c r="E30" s="70" t="s">
        <v>16</v>
      </c>
      <c r="F30" s="142" t="s">
        <v>15</v>
      </c>
      <c r="G30" s="59" t="s">
        <v>16</v>
      </c>
      <c r="H30" s="136" t="s">
        <v>15</v>
      </c>
      <c r="I30" s="59" t="s">
        <v>15</v>
      </c>
      <c r="J30" s="59" t="s">
        <v>15</v>
      </c>
      <c r="K30" s="59" t="s">
        <v>15</v>
      </c>
      <c r="L30" s="145" t="s">
        <v>16</v>
      </c>
      <c r="M30" s="59" t="s">
        <v>15</v>
      </c>
      <c r="N30" s="59" t="s">
        <v>16</v>
      </c>
      <c r="O30" s="59" t="s">
        <v>15</v>
      </c>
      <c r="P30" s="59" t="s">
        <v>15</v>
      </c>
      <c r="Q30" s="59" t="s">
        <v>15</v>
      </c>
      <c r="R30" s="59" t="s">
        <v>15</v>
      </c>
      <c r="S30" s="59" t="s">
        <v>16</v>
      </c>
      <c r="T30" s="59" t="s">
        <v>15</v>
      </c>
      <c r="U30" s="59" t="s">
        <v>15</v>
      </c>
      <c r="V30" s="59" t="s">
        <v>15</v>
      </c>
      <c r="W30" s="59" t="s">
        <v>16</v>
      </c>
      <c r="X30" s="138">
        <f t="shared" si="1"/>
        <v>0.65</v>
      </c>
      <c r="Y30" s="59" t="s">
        <v>15</v>
      </c>
      <c r="Z30" s="136" t="s">
        <v>15</v>
      </c>
      <c r="AA30" s="59" t="s">
        <v>15</v>
      </c>
      <c r="AB30" s="59" t="s">
        <v>16</v>
      </c>
      <c r="AC30" s="59" t="s">
        <v>16</v>
      </c>
      <c r="AD30" s="59" t="s">
        <v>15</v>
      </c>
      <c r="AE30" s="59" t="s">
        <v>15</v>
      </c>
      <c r="AF30" s="59" t="s">
        <v>16</v>
      </c>
      <c r="AG30" s="59" t="s">
        <v>16</v>
      </c>
      <c r="AH30" s="59" t="s">
        <v>15</v>
      </c>
      <c r="AI30" s="59" t="s">
        <v>15</v>
      </c>
      <c r="AJ30" s="59" t="s">
        <v>16</v>
      </c>
      <c r="AK30" s="59" t="s">
        <v>15</v>
      </c>
      <c r="AL30" s="59" t="s">
        <v>16</v>
      </c>
      <c r="AM30" s="143" t="s">
        <v>15</v>
      </c>
      <c r="AN30" s="59" t="s">
        <v>15</v>
      </c>
      <c r="AO30" s="59" t="s">
        <v>15</v>
      </c>
      <c r="AP30" s="59" t="s">
        <v>15</v>
      </c>
      <c r="AQ30" s="59" t="s">
        <v>16</v>
      </c>
      <c r="AR30" s="59" t="s">
        <v>16</v>
      </c>
      <c r="AS30" s="139">
        <f t="shared" si="2"/>
        <v>0.6</v>
      </c>
      <c r="AT30" s="59" t="s">
        <v>15</v>
      </c>
      <c r="AU30" s="59" t="s">
        <v>15</v>
      </c>
      <c r="AV30" s="59" t="s">
        <v>15</v>
      </c>
      <c r="AW30" s="59" t="s">
        <v>15</v>
      </c>
      <c r="AX30" s="59" t="s">
        <v>15</v>
      </c>
      <c r="AY30" s="59" t="s">
        <v>16</v>
      </c>
      <c r="AZ30" s="59" t="s">
        <v>16</v>
      </c>
      <c r="BA30" s="139">
        <f t="shared" si="3"/>
        <v>0.7142857143</v>
      </c>
      <c r="BB30" s="59" t="s">
        <v>15</v>
      </c>
      <c r="BC30" s="140" t="s">
        <v>15</v>
      </c>
      <c r="BD30" s="140" t="s">
        <v>15</v>
      </c>
      <c r="BE30" s="140" t="s">
        <v>16</v>
      </c>
      <c r="BF30" s="140" t="s">
        <v>15</v>
      </c>
      <c r="BG30" s="155" t="s">
        <v>16</v>
      </c>
      <c r="BH30" s="155" t="s">
        <v>15</v>
      </c>
      <c r="BI30" s="155" t="s">
        <v>16</v>
      </c>
      <c r="BJ30" s="155" t="s">
        <v>15</v>
      </c>
      <c r="BK30" s="155" t="s">
        <v>15</v>
      </c>
      <c r="BL30" s="140" t="s">
        <v>15</v>
      </c>
      <c r="BM30" s="140" t="s">
        <v>15</v>
      </c>
      <c r="BN30" s="65" t="s">
        <v>15</v>
      </c>
      <c r="BO30" s="156" t="s">
        <v>16</v>
      </c>
      <c r="BP30" s="156" t="s">
        <v>15</v>
      </c>
      <c r="BQ30" s="140" t="s">
        <v>15</v>
      </c>
      <c r="BR30" s="140" t="s">
        <v>15</v>
      </c>
      <c r="BS30" s="140" t="s">
        <v>15</v>
      </c>
      <c r="BT30" s="140" t="s">
        <v>15</v>
      </c>
      <c r="BU30" s="140" t="s">
        <v>15</v>
      </c>
      <c r="BV30" s="140" t="s">
        <v>16</v>
      </c>
      <c r="BW30" s="54" t="s">
        <v>15</v>
      </c>
      <c r="BX30" s="22">
        <f t="shared" si="4"/>
        <v>0.7727272727</v>
      </c>
    </row>
    <row r="31">
      <c r="A31" s="16">
        <v>27.0</v>
      </c>
      <c r="B31" s="167"/>
      <c r="C31" s="21"/>
      <c r="D31" s="59" t="s">
        <v>15</v>
      </c>
      <c r="E31" s="136" t="s">
        <v>15</v>
      </c>
      <c r="F31" s="142" t="s">
        <v>15</v>
      </c>
      <c r="G31" s="59" t="s">
        <v>15</v>
      </c>
      <c r="H31" s="136" t="s">
        <v>15</v>
      </c>
      <c r="I31" s="59" t="s">
        <v>15</v>
      </c>
      <c r="J31" s="59" t="s">
        <v>15</v>
      </c>
      <c r="K31" s="59" t="s">
        <v>15</v>
      </c>
      <c r="L31" s="136" t="s">
        <v>15</v>
      </c>
      <c r="M31" s="59" t="s">
        <v>15</v>
      </c>
      <c r="N31" s="59" t="s">
        <v>15</v>
      </c>
      <c r="O31" s="59" t="s">
        <v>15</v>
      </c>
      <c r="P31" s="59" t="s">
        <v>15</v>
      </c>
      <c r="Q31" s="59" t="s">
        <v>15</v>
      </c>
      <c r="R31" s="59" t="s">
        <v>15</v>
      </c>
      <c r="S31" s="59" t="s">
        <v>15</v>
      </c>
      <c r="T31" s="59" t="s">
        <v>15</v>
      </c>
      <c r="U31" s="59" t="s">
        <v>15</v>
      </c>
      <c r="V31" s="59" t="s">
        <v>15</v>
      </c>
      <c r="W31" s="59" t="s">
        <v>16</v>
      </c>
      <c r="X31" s="138">
        <f t="shared" si="1"/>
        <v>0.95</v>
      </c>
      <c r="Y31" s="59" t="s">
        <v>15</v>
      </c>
      <c r="Z31" s="168" t="s">
        <v>15</v>
      </c>
      <c r="AA31" s="59" t="s">
        <v>16</v>
      </c>
      <c r="AB31" s="59" t="s">
        <v>16</v>
      </c>
      <c r="AC31" s="59" t="s">
        <v>15</v>
      </c>
      <c r="AD31" s="59" t="s">
        <v>15</v>
      </c>
      <c r="AE31" s="59" t="s">
        <v>15</v>
      </c>
      <c r="AF31" s="59" t="s">
        <v>15</v>
      </c>
      <c r="AG31" s="59" t="s">
        <v>16</v>
      </c>
      <c r="AH31" s="59" t="s">
        <v>15</v>
      </c>
      <c r="AI31" s="59" t="s">
        <v>15</v>
      </c>
      <c r="AJ31" s="59" t="s">
        <v>15</v>
      </c>
      <c r="AK31" s="59" t="s">
        <v>15</v>
      </c>
      <c r="AL31" s="59" t="s">
        <v>15</v>
      </c>
      <c r="AM31" s="143" t="s">
        <v>15</v>
      </c>
      <c r="AN31" s="59" t="s">
        <v>16</v>
      </c>
      <c r="AO31" s="59" t="s">
        <v>15</v>
      </c>
      <c r="AP31" s="59" t="s">
        <v>15</v>
      </c>
      <c r="AQ31" s="59" t="s">
        <v>15</v>
      </c>
      <c r="AR31" s="59" t="s">
        <v>16</v>
      </c>
      <c r="AS31" s="139">
        <f t="shared" si="2"/>
        <v>0.75</v>
      </c>
      <c r="AT31" s="59" t="s">
        <v>15</v>
      </c>
      <c r="AU31" s="59" t="s">
        <v>16</v>
      </c>
      <c r="AV31" s="59" t="s">
        <v>15</v>
      </c>
      <c r="AW31" s="59" t="s">
        <v>15</v>
      </c>
      <c r="AX31" s="59" t="s">
        <v>15</v>
      </c>
      <c r="AY31" s="59" t="s">
        <v>15</v>
      </c>
      <c r="AZ31" s="59" t="s">
        <v>15</v>
      </c>
      <c r="BA31" s="139">
        <f t="shared" si="3"/>
        <v>0.8571428571</v>
      </c>
      <c r="BB31" s="59" t="s">
        <v>15</v>
      </c>
      <c r="BC31" s="140" t="s">
        <v>16</v>
      </c>
      <c r="BD31" s="140" t="s">
        <v>15</v>
      </c>
      <c r="BE31" s="140" t="s">
        <v>16</v>
      </c>
      <c r="BF31" s="140" t="s">
        <v>15</v>
      </c>
      <c r="BG31" s="155" t="s">
        <v>15</v>
      </c>
      <c r="BH31" s="155" t="s">
        <v>15</v>
      </c>
      <c r="BI31" s="155" t="s">
        <v>15</v>
      </c>
      <c r="BJ31" s="155" t="s">
        <v>15</v>
      </c>
      <c r="BK31" s="155" t="s">
        <v>15</v>
      </c>
      <c r="BL31" s="140" t="s">
        <v>15</v>
      </c>
      <c r="BM31" s="140" t="s">
        <v>16</v>
      </c>
      <c r="BN31" s="65" t="s">
        <v>15</v>
      </c>
      <c r="BO31" s="156" t="s">
        <v>15</v>
      </c>
      <c r="BP31" s="156" t="s">
        <v>15</v>
      </c>
      <c r="BQ31" s="140" t="s">
        <v>15</v>
      </c>
      <c r="BR31" s="140" t="s">
        <v>15</v>
      </c>
      <c r="BS31" s="140" t="s">
        <v>15</v>
      </c>
      <c r="BT31" s="140" t="s">
        <v>15</v>
      </c>
      <c r="BU31" s="140" t="s">
        <v>15</v>
      </c>
      <c r="BV31" s="140" t="s">
        <v>15</v>
      </c>
      <c r="BW31" s="54" t="s">
        <v>15</v>
      </c>
      <c r="BX31" s="22">
        <f t="shared" si="4"/>
        <v>0.8636363636</v>
      </c>
    </row>
    <row r="32">
      <c r="A32" s="6"/>
      <c r="E32" s="96" t="s">
        <v>28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95"/>
    </row>
    <row r="33">
      <c r="A33" s="6"/>
      <c r="E33" s="117" t="s">
        <v>42</v>
      </c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101"/>
    </row>
    <row r="34">
      <c r="A34" s="6"/>
      <c r="E34" s="117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101"/>
    </row>
    <row r="35">
      <c r="A35" s="6"/>
      <c r="E35" s="117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101"/>
    </row>
    <row r="36">
      <c r="A36" s="6"/>
      <c r="E36" s="117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101"/>
    </row>
    <row r="37">
      <c r="A37" s="6"/>
      <c r="E37" s="97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101"/>
    </row>
    <row r="38">
      <c r="A38" s="6"/>
      <c r="E38" s="97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101"/>
    </row>
    <row r="39">
      <c r="A39" s="6"/>
      <c r="E39" s="97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101"/>
    </row>
    <row r="40">
      <c r="A40" s="6"/>
      <c r="E40" s="97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101"/>
    </row>
    <row r="41">
      <c r="A41" s="6"/>
      <c r="E41" s="97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101"/>
    </row>
    <row r="42">
      <c r="A42" s="6"/>
      <c r="E42" s="97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101"/>
    </row>
    <row r="43">
      <c r="E43" s="97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101"/>
    </row>
  </sheetData>
  <mergeCells count="19">
    <mergeCell ref="D1:W3"/>
    <mergeCell ref="AT1:AZ3"/>
    <mergeCell ref="BB1:BW3"/>
    <mergeCell ref="X2:X3"/>
    <mergeCell ref="AS2:AS3"/>
    <mergeCell ref="BA2:BA3"/>
    <mergeCell ref="BX2:BX3"/>
    <mergeCell ref="E39:AS39"/>
    <mergeCell ref="E40:AS40"/>
    <mergeCell ref="E41:AS41"/>
    <mergeCell ref="E42:AS42"/>
    <mergeCell ref="E43:AS43"/>
    <mergeCell ref="Y1:AR3"/>
    <mergeCell ref="E33:AS33"/>
    <mergeCell ref="E34:AS34"/>
    <mergeCell ref="E35:AS35"/>
    <mergeCell ref="E36:AS36"/>
    <mergeCell ref="E37:AS37"/>
    <mergeCell ref="E38:AS38"/>
  </mergeCells>
  <conditionalFormatting sqref="AD15 AH15 AL15:AL16 AJ16:AJ17 AN16 AP16 AR16 AE17:AE18 AH17:AI18 AK17:AK18 AM17:AM18">
    <cfRule type="notContainsBlanks" dxfId="5" priority="1">
      <formula>LEN(TRIM(AD15))&gt;0</formula>
    </cfRule>
  </conditionalFormatting>
  <conditionalFormatting sqref="D5:D31 E5:AS34 AT5:BF37 BG5:BW31 BX21">
    <cfRule type="cellIs" dxfId="3" priority="2" operator="equal">
      <formula>"P"</formula>
    </cfRule>
  </conditionalFormatting>
  <conditionalFormatting sqref="D5:D31 E5:AS34 AT5:BF37 BG5:BW31 BX21">
    <cfRule type="cellIs" dxfId="4" priority="3" operator="equal">
      <formula>"F"</formula>
    </cfRule>
  </conditionalFormatting>
  <dataValidations>
    <dataValidation type="list" allowBlank="1" showDropDown="1" sqref="T8:T9 AM6:AM9 E5:E11 H5:H11 L5:L11 AB5:AB11 AB15 E15:E16 H15:H16 L15:L16 AM15:AM16 AW18:AW19 E18:E20 AW22 AW27 AB19:AB28 AM19:AM28 E22:E31 H18:H31 L18:L31 Z5:Z31 AM30:AM31">
      <formula1>"-,P,F"</formula1>
    </dataValidation>
    <dataValidation type="custom" allowBlank="1" showDropDown="1" sqref="B7 C8 B16:B18 B27 B29">
      <formula1>OR(NOT(ISERROR(DATEVALUE(B7))), AND(ISNUMBER(B7), LEFT(CELL("format", B7))="D"))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4.0"/>
    <col customWidth="1" min="2" max="2" width="36.0"/>
    <col customWidth="1" min="4" max="23" width="2.63"/>
    <col customWidth="1" min="24" max="24" width="7.75"/>
    <col customWidth="1" min="25" max="44" width="2.63"/>
    <col customWidth="1" min="45" max="45" width="7.13"/>
    <col customWidth="1" min="46" max="52" width="2.63"/>
    <col customWidth="1" min="53" max="53" width="7.25"/>
    <col customWidth="1" min="54" max="75" width="2.63"/>
    <col customWidth="1" min="76" max="76" width="8.25"/>
    <col customWidth="1" min="77" max="94" width="2.63"/>
  </cols>
  <sheetData>
    <row r="1">
      <c r="A1" s="1" t="s">
        <v>0</v>
      </c>
      <c r="B1" s="1"/>
      <c r="C1" s="1"/>
      <c r="D1" s="2" t="s">
        <v>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 t="s">
        <v>2</v>
      </c>
      <c r="Y1" s="2" t="s">
        <v>7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4"/>
      <c r="AS1" s="5" t="s">
        <v>2</v>
      </c>
      <c r="AT1" s="2" t="s">
        <v>8</v>
      </c>
      <c r="AU1" s="3"/>
      <c r="AV1" s="3"/>
      <c r="AW1" s="3"/>
      <c r="AX1" s="3"/>
      <c r="AY1" s="3"/>
      <c r="AZ1" s="4"/>
      <c r="BA1" s="5" t="s">
        <v>2</v>
      </c>
      <c r="BB1" s="2" t="s">
        <v>9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4"/>
      <c r="BX1" s="5" t="s">
        <v>2</v>
      </c>
    </row>
    <row r="2">
      <c r="C2" s="6"/>
      <c r="D2" s="7"/>
      <c r="W2" s="8"/>
      <c r="X2" s="9">
        <f>COUNT(D4:Q4)</f>
        <v>14</v>
      </c>
      <c r="Y2" s="7"/>
      <c r="AR2" s="8"/>
      <c r="AS2" s="9">
        <f>COUNT(Y4:AR4)</f>
        <v>20</v>
      </c>
      <c r="AT2" s="7"/>
      <c r="AZ2" s="8"/>
      <c r="BA2" s="9">
        <f>COUNT(AT4:AZ4)</f>
        <v>7</v>
      </c>
      <c r="BB2" s="7"/>
      <c r="BW2" s="8"/>
      <c r="BX2" s="9">
        <f>COUNT(BB4:BQ4)</f>
        <v>16</v>
      </c>
    </row>
    <row r="3">
      <c r="C3" s="6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4"/>
      <c r="X3" s="15"/>
      <c r="Y3" s="12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4"/>
      <c r="AS3" s="15"/>
      <c r="AT3" s="12"/>
      <c r="AU3" s="13"/>
      <c r="AV3" s="13"/>
      <c r="AW3" s="13"/>
      <c r="AX3" s="13"/>
      <c r="AY3" s="13"/>
      <c r="AZ3" s="14"/>
      <c r="BA3" s="15"/>
      <c r="BB3" s="12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4"/>
      <c r="BX3" s="15"/>
    </row>
    <row r="4">
      <c r="A4" s="16" t="s">
        <v>10</v>
      </c>
      <c r="B4" s="17" t="s">
        <v>11</v>
      </c>
      <c r="C4" s="16" t="s">
        <v>14</v>
      </c>
      <c r="D4" s="18">
        <v>4.0</v>
      </c>
      <c r="E4" s="18">
        <v>5.0</v>
      </c>
      <c r="F4" s="18">
        <v>6.0</v>
      </c>
      <c r="G4" s="18">
        <v>7.0</v>
      </c>
      <c r="H4" s="18">
        <v>8.0</v>
      </c>
      <c r="I4" s="18">
        <v>11.0</v>
      </c>
      <c r="J4" s="18">
        <v>12.0</v>
      </c>
      <c r="K4" s="18">
        <v>13.0</v>
      </c>
      <c r="L4" s="18">
        <v>14.0</v>
      </c>
      <c r="M4" s="18">
        <v>15.0</v>
      </c>
      <c r="N4" s="18">
        <v>18.0</v>
      </c>
      <c r="O4" s="18">
        <v>19.0</v>
      </c>
      <c r="P4" s="18">
        <v>20.0</v>
      </c>
      <c r="Q4" s="18">
        <v>21.0</v>
      </c>
      <c r="R4" s="18">
        <v>22.0</v>
      </c>
      <c r="S4" s="18">
        <v>25.0</v>
      </c>
      <c r="T4" s="18">
        <v>26.0</v>
      </c>
      <c r="U4" s="18">
        <v>27.0</v>
      </c>
      <c r="V4" s="18">
        <v>28.0</v>
      </c>
      <c r="W4" s="18">
        <v>29.0</v>
      </c>
      <c r="X4" s="19" t="s">
        <v>13</v>
      </c>
      <c r="Y4" s="18">
        <v>1.0</v>
      </c>
      <c r="Z4" s="18">
        <v>2.0</v>
      </c>
      <c r="AA4" s="18">
        <v>3.0</v>
      </c>
      <c r="AB4" s="18">
        <v>8.0</v>
      </c>
      <c r="AC4" s="18">
        <v>9.0</v>
      </c>
      <c r="AD4" s="18">
        <v>10.0</v>
      </c>
      <c r="AE4" s="18">
        <v>11.0</v>
      </c>
      <c r="AF4" s="18">
        <v>12.0</v>
      </c>
      <c r="AG4" s="18">
        <v>15.0</v>
      </c>
      <c r="AH4" s="18">
        <v>16.0</v>
      </c>
      <c r="AI4" s="18">
        <v>17.0</v>
      </c>
      <c r="AJ4" s="18">
        <v>18.0</v>
      </c>
      <c r="AK4" s="18">
        <v>19.0</v>
      </c>
      <c r="AL4" s="18">
        <v>22.0</v>
      </c>
      <c r="AM4" s="18">
        <v>23.0</v>
      </c>
      <c r="AN4" s="18">
        <v>24.0</v>
      </c>
      <c r="AO4" s="18">
        <v>25.0</v>
      </c>
      <c r="AP4" s="18">
        <v>26.0</v>
      </c>
      <c r="AQ4" s="18">
        <v>29.0</v>
      </c>
      <c r="AR4" s="18">
        <v>30.0</v>
      </c>
      <c r="AS4" s="19" t="s">
        <v>13</v>
      </c>
      <c r="AT4" s="18">
        <v>1.0</v>
      </c>
      <c r="AU4" s="18">
        <v>2.0</v>
      </c>
      <c r="AV4" s="18">
        <v>3.0</v>
      </c>
      <c r="AW4" s="18">
        <v>28.0</v>
      </c>
      <c r="AX4" s="18">
        <v>29.0</v>
      </c>
      <c r="AY4" s="18">
        <v>30.0</v>
      </c>
      <c r="AZ4" s="18">
        <v>31.0</v>
      </c>
      <c r="BA4" s="19" t="s">
        <v>13</v>
      </c>
      <c r="BB4" s="18">
        <v>3.0</v>
      </c>
      <c r="BC4" s="18">
        <v>4.0</v>
      </c>
      <c r="BD4" s="18">
        <v>5.0</v>
      </c>
      <c r="BE4" s="18">
        <v>6.0</v>
      </c>
      <c r="BF4" s="18">
        <v>7.0</v>
      </c>
      <c r="BG4" s="18">
        <v>10.0</v>
      </c>
      <c r="BH4" s="18">
        <v>11.0</v>
      </c>
      <c r="BI4" s="18">
        <v>12.0</v>
      </c>
      <c r="BJ4" s="18">
        <v>13.0</v>
      </c>
      <c r="BK4" s="18">
        <v>14.0</v>
      </c>
      <c r="BL4" s="18">
        <v>17.0</v>
      </c>
      <c r="BM4" s="18">
        <v>18.0</v>
      </c>
      <c r="BN4" s="18">
        <v>19.0</v>
      </c>
      <c r="BO4" s="18">
        <v>20.0</v>
      </c>
      <c r="BP4" s="18">
        <v>21.0</v>
      </c>
      <c r="BQ4" s="18">
        <v>22.0</v>
      </c>
      <c r="BR4" s="18">
        <v>24.0</v>
      </c>
      <c r="BS4" s="18">
        <v>25.0</v>
      </c>
      <c r="BT4" s="18">
        <v>26.0</v>
      </c>
      <c r="BU4" s="18">
        <v>27.0</v>
      </c>
      <c r="BV4" s="18">
        <v>28.0</v>
      </c>
      <c r="BW4" s="18">
        <v>31.0</v>
      </c>
      <c r="BX4" s="19" t="s">
        <v>13</v>
      </c>
    </row>
    <row r="5">
      <c r="A5" s="24">
        <v>1.0</v>
      </c>
      <c r="B5" s="25"/>
      <c r="C5" s="149" t="s">
        <v>41</v>
      </c>
      <c r="D5" s="43" t="s">
        <v>15</v>
      </c>
      <c r="E5" s="16" t="s">
        <v>15</v>
      </c>
      <c r="F5" s="154" t="s">
        <v>15</v>
      </c>
      <c r="G5" s="154" t="s">
        <v>15</v>
      </c>
      <c r="H5" s="16" t="s">
        <v>15</v>
      </c>
      <c r="I5" s="16" t="s">
        <v>15</v>
      </c>
      <c r="J5" s="16" t="s">
        <v>15</v>
      </c>
      <c r="K5" s="16" t="s">
        <v>15</v>
      </c>
      <c r="L5" s="16" t="s">
        <v>16</v>
      </c>
      <c r="M5" s="43" t="s">
        <v>15</v>
      </c>
      <c r="N5" s="16" t="s">
        <v>15</v>
      </c>
      <c r="O5" s="16" t="s">
        <v>15</v>
      </c>
      <c r="P5" s="16" t="s">
        <v>15</v>
      </c>
      <c r="Q5" s="16" t="s">
        <v>15</v>
      </c>
      <c r="R5" s="16" t="s">
        <v>15</v>
      </c>
      <c r="S5" s="16" t="s">
        <v>15</v>
      </c>
      <c r="T5" s="16" t="s">
        <v>15</v>
      </c>
      <c r="U5" s="16" t="s">
        <v>15</v>
      </c>
      <c r="V5" s="16" t="s">
        <v>15</v>
      </c>
      <c r="W5" s="16" t="s">
        <v>15</v>
      </c>
      <c r="X5" s="22">
        <f t="shared" ref="X5:X33" si="1">IFERROR(COUNTIF(D5:W5,"P")/(COUNTIF(D5:W5,"P")+COUNTIF(D5:W5,"F")), "0,00%")</f>
        <v>0.95</v>
      </c>
      <c r="Y5" s="16" t="s">
        <v>15</v>
      </c>
      <c r="Z5" s="16" t="s">
        <v>15</v>
      </c>
      <c r="AA5" s="16" t="s">
        <v>16</v>
      </c>
      <c r="AB5" s="16" t="s">
        <v>15</v>
      </c>
      <c r="AC5" s="16" t="s">
        <v>15</v>
      </c>
      <c r="AD5" s="16" t="s">
        <v>15</v>
      </c>
      <c r="AE5" s="16" t="s">
        <v>15</v>
      </c>
      <c r="AF5" s="16" t="s">
        <v>15</v>
      </c>
      <c r="AG5" s="16" t="s">
        <v>15</v>
      </c>
      <c r="AH5" s="16" t="s">
        <v>15</v>
      </c>
      <c r="AI5" s="16" t="s">
        <v>15</v>
      </c>
      <c r="AJ5" s="16" t="s">
        <v>15</v>
      </c>
      <c r="AK5" s="16" t="s">
        <v>15</v>
      </c>
      <c r="AL5" s="16" t="s">
        <v>15</v>
      </c>
      <c r="AM5" s="143" t="s">
        <v>15</v>
      </c>
      <c r="AN5" s="16" t="s">
        <v>16</v>
      </c>
      <c r="AO5" s="143" t="s">
        <v>15</v>
      </c>
      <c r="AP5" s="16" t="s">
        <v>16</v>
      </c>
      <c r="AQ5" s="16" t="s">
        <v>15</v>
      </c>
      <c r="AR5" s="16" t="s">
        <v>15</v>
      </c>
      <c r="AS5" s="22">
        <f t="shared" ref="AS5:AS33" si="2">IFERROR(COUNTIF(Y5:AR5,"P")/(COUNTIF(Y5:AR5,"P")+COUNTIF(Y5:AR5,"F")), "0,00%")</f>
        <v>0.85</v>
      </c>
      <c r="AT5" s="16" t="s">
        <v>15</v>
      </c>
      <c r="AU5" s="16" t="s">
        <v>15</v>
      </c>
      <c r="AV5" s="16" t="s">
        <v>16</v>
      </c>
      <c r="AW5" s="43" t="s">
        <v>15</v>
      </c>
      <c r="AX5" s="16"/>
      <c r="AY5" s="16"/>
      <c r="AZ5" s="45" t="s">
        <v>15</v>
      </c>
      <c r="BA5" s="22">
        <f t="shared" ref="BA5:BA33" si="3">IFERROR(COUNTIF(AT5:AZ5,"P")/(COUNTIF(AT5:AZ5,"P")+COUNTIF(AT5:AZ5,"F")), "0,00%")</f>
        <v>0.8</v>
      </c>
      <c r="BB5" s="157" t="s">
        <v>16</v>
      </c>
      <c r="BC5" s="158" t="s">
        <v>16</v>
      </c>
      <c r="BD5" s="16"/>
      <c r="BE5" s="16"/>
      <c r="BF5" s="16"/>
      <c r="BG5" s="43" t="s">
        <v>15</v>
      </c>
      <c r="BH5" s="159" t="s">
        <v>16</v>
      </c>
      <c r="BI5" s="16"/>
      <c r="BJ5" s="16"/>
      <c r="BK5" s="43" t="s">
        <v>15</v>
      </c>
      <c r="BL5" s="43" t="s">
        <v>15</v>
      </c>
      <c r="BM5" s="16" t="s">
        <v>15</v>
      </c>
      <c r="BN5" s="16"/>
      <c r="BO5" s="51" t="s">
        <v>16</v>
      </c>
      <c r="BP5" s="43" t="s">
        <v>15</v>
      </c>
      <c r="BQ5" s="16"/>
      <c r="BR5" s="43" t="s">
        <v>15</v>
      </c>
      <c r="BS5" s="160" t="s">
        <v>15</v>
      </c>
      <c r="BT5" s="16"/>
      <c r="BU5" s="16" t="s">
        <v>15</v>
      </c>
      <c r="BV5" s="16" t="s">
        <v>15</v>
      </c>
      <c r="BW5" s="45" t="s">
        <v>15</v>
      </c>
      <c r="BX5" s="22">
        <f t="shared" ref="BX5:BX33" si="4">IFERROR(COUNTIF(BB5:BW5,"P")/(COUNTIF(BB5:BW5,"P")+COUNTIF(BB5:BW5,"F")), "0,00%")</f>
        <v>0.7142857143</v>
      </c>
    </row>
    <row r="6">
      <c r="A6" s="24">
        <v>2.0</v>
      </c>
      <c r="B6" s="46"/>
      <c r="C6" s="26"/>
      <c r="D6" s="159" t="s">
        <v>16</v>
      </c>
      <c r="E6" s="16" t="s">
        <v>15</v>
      </c>
      <c r="F6" s="16" t="s">
        <v>15</v>
      </c>
      <c r="G6" s="16" t="s">
        <v>15</v>
      </c>
      <c r="H6" s="16" t="s">
        <v>15</v>
      </c>
      <c r="I6" s="16" t="s">
        <v>15</v>
      </c>
      <c r="J6" s="16" t="s">
        <v>15</v>
      </c>
      <c r="K6" s="16" t="s">
        <v>15</v>
      </c>
      <c r="L6" s="16" t="s">
        <v>15</v>
      </c>
      <c r="M6" s="43" t="s">
        <v>15</v>
      </c>
      <c r="N6" s="16" t="s">
        <v>15</v>
      </c>
      <c r="O6" s="16" t="s">
        <v>15</v>
      </c>
      <c r="P6" s="16" t="s">
        <v>15</v>
      </c>
      <c r="Q6" s="16" t="s">
        <v>15</v>
      </c>
      <c r="R6" s="16" t="s">
        <v>15</v>
      </c>
      <c r="S6" s="16" t="s">
        <v>15</v>
      </c>
      <c r="T6" s="16" t="s">
        <v>15</v>
      </c>
      <c r="U6" s="16" t="s">
        <v>15</v>
      </c>
      <c r="V6" s="16" t="s">
        <v>15</v>
      </c>
      <c r="W6" s="16" t="s">
        <v>15</v>
      </c>
      <c r="X6" s="22">
        <f t="shared" si="1"/>
        <v>0.95</v>
      </c>
      <c r="Y6" s="16" t="s">
        <v>15</v>
      </c>
      <c r="Z6" s="16" t="s">
        <v>15</v>
      </c>
      <c r="AA6" s="16" t="s">
        <v>15</v>
      </c>
      <c r="AB6" s="16" t="s">
        <v>15</v>
      </c>
      <c r="AC6" s="16" t="s">
        <v>15</v>
      </c>
      <c r="AD6" s="16" t="s">
        <v>15</v>
      </c>
      <c r="AE6" s="16" t="s">
        <v>15</v>
      </c>
      <c r="AF6" s="16" t="s">
        <v>15</v>
      </c>
      <c r="AG6" s="16" t="s">
        <v>15</v>
      </c>
      <c r="AH6" s="16" t="s">
        <v>15</v>
      </c>
      <c r="AI6" s="16" t="s">
        <v>15</v>
      </c>
      <c r="AJ6" s="16" t="s">
        <v>15</v>
      </c>
      <c r="AK6" s="16" t="s">
        <v>16</v>
      </c>
      <c r="AL6" s="16" t="s">
        <v>15</v>
      </c>
      <c r="AM6" s="143" t="s">
        <v>15</v>
      </c>
      <c r="AN6" s="143" t="s">
        <v>15</v>
      </c>
      <c r="AO6" s="143" t="s">
        <v>15</v>
      </c>
      <c r="AP6" s="16" t="s">
        <v>16</v>
      </c>
      <c r="AQ6" s="16" t="s">
        <v>16</v>
      </c>
      <c r="AR6" s="16" t="s">
        <v>16</v>
      </c>
      <c r="AS6" s="22">
        <f t="shared" si="2"/>
        <v>0.8</v>
      </c>
      <c r="AT6" s="16" t="s">
        <v>15</v>
      </c>
      <c r="AU6" s="16" t="s">
        <v>16</v>
      </c>
      <c r="AV6" s="16" t="s">
        <v>15</v>
      </c>
      <c r="AW6" s="85" t="s">
        <v>16</v>
      </c>
      <c r="AX6" s="16"/>
      <c r="AY6" s="16"/>
      <c r="AZ6" s="106" t="s">
        <v>16</v>
      </c>
      <c r="BA6" s="22">
        <f t="shared" si="3"/>
        <v>0.4</v>
      </c>
      <c r="BB6" s="162" t="s">
        <v>15</v>
      </c>
      <c r="BC6" s="163" t="s">
        <v>15</v>
      </c>
      <c r="BD6" s="16"/>
      <c r="BE6" s="16"/>
      <c r="BF6" s="16"/>
      <c r="BG6" s="71" t="s">
        <v>15</v>
      </c>
      <c r="BH6" s="71" t="s">
        <v>15</v>
      </c>
      <c r="BI6" s="16"/>
      <c r="BJ6" s="21"/>
      <c r="BK6" s="65" t="s">
        <v>15</v>
      </c>
      <c r="BL6" s="51" t="s">
        <v>16</v>
      </c>
      <c r="BM6" s="16" t="s">
        <v>15</v>
      </c>
      <c r="BN6" s="21"/>
      <c r="BO6" s="16" t="s">
        <v>15</v>
      </c>
      <c r="BP6" s="51" t="s">
        <v>16</v>
      </c>
      <c r="BQ6" s="21"/>
      <c r="BR6" s="65" t="s">
        <v>15</v>
      </c>
      <c r="BS6" s="164" t="s">
        <v>15</v>
      </c>
      <c r="BT6" s="21"/>
      <c r="BU6" s="16" t="s">
        <v>15</v>
      </c>
      <c r="BV6" s="16" t="s">
        <v>15</v>
      </c>
      <c r="BW6" s="54" t="s">
        <v>15</v>
      </c>
      <c r="BX6" s="22">
        <f t="shared" si="4"/>
        <v>0.8571428571</v>
      </c>
    </row>
    <row r="7">
      <c r="A7" s="24">
        <v>3.0</v>
      </c>
      <c r="B7" s="62"/>
      <c r="C7" s="58"/>
      <c r="D7" s="43" t="s">
        <v>15</v>
      </c>
      <c r="E7" s="16" t="s">
        <v>15</v>
      </c>
      <c r="F7" s="16" t="s">
        <v>15</v>
      </c>
      <c r="G7" s="16" t="s">
        <v>15</v>
      </c>
      <c r="H7" s="16" t="s">
        <v>15</v>
      </c>
      <c r="I7" s="16" t="s">
        <v>15</v>
      </c>
      <c r="J7" s="16" t="s">
        <v>15</v>
      </c>
      <c r="K7" s="16" t="s">
        <v>15</v>
      </c>
      <c r="L7" s="16" t="s">
        <v>15</v>
      </c>
      <c r="M7" s="43" t="s">
        <v>15</v>
      </c>
      <c r="N7" s="16" t="s">
        <v>16</v>
      </c>
      <c r="O7" s="16" t="s">
        <v>16</v>
      </c>
      <c r="P7" s="16" t="s">
        <v>15</v>
      </c>
      <c r="Q7" s="16" t="s">
        <v>15</v>
      </c>
      <c r="R7" s="16" t="s">
        <v>15</v>
      </c>
      <c r="S7" s="16" t="s">
        <v>16</v>
      </c>
      <c r="T7" s="16" t="s">
        <v>16</v>
      </c>
      <c r="U7" s="16" t="s">
        <v>15</v>
      </c>
      <c r="V7" s="16" t="s">
        <v>15</v>
      </c>
      <c r="W7" s="16" t="s">
        <v>15</v>
      </c>
      <c r="X7" s="22">
        <f t="shared" si="1"/>
        <v>0.8</v>
      </c>
      <c r="Y7" s="16" t="s">
        <v>15</v>
      </c>
      <c r="Z7" s="16" t="s">
        <v>15</v>
      </c>
      <c r="AA7" s="16" t="s">
        <v>15</v>
      </c>
      <c r="AB7" s="16" t="s">
        <v>15</v>
      </c>
      <c r="AC7" s="16" t="s">
        <v>15</v>
      </c>
      <c r="AD7" s="16" t="s">
        <v>16</v>
      </c>
      <c r="AE7" s="16" t="s">
        <v>16</v>
      </c>
      <c r="AF7" s="16" t="s">
        <v>16</v>
      </c>
      <c r="AG7" s="16" t="s">
        <v>15</v>
      </c>
      <c r="AH7" s="16" t="s">
        <v>16</v>
      </c>
      <c r="AI7" s="16" t="s">
        <v>15</v>
      </c>
      <c r="AJ7" s="16" t="s">
        <v>15</v>
      </c>
      <c r="AK7" s="16" t="s">
        <v>15</v>
      </c>
      <c r="AL7" s="16" t="s">
        <v>15</v>
      </c>
      <c r="AM7" s="143" t="s">
        <v>15</v>
      </c>
      <c r="AN7" s="143" t="s">
        <v>15</v>
      </c>
      <c r="AO7" s="143" t="s">
        <v>15</v>
      </c>
      <c r="AP7" s="143" t="s">
        <v>15</v>
      </c>
      <c r="AQ7" s="16" t="s">
        <v>16</v>
      </c>
      <c r="AR7" s="16" t="s">
        <v>16</v>
      </c>
      <c r="AS7" s="22">
        <f t="shared" si="2"/>
        <v>0.7</v>
      </c>
      <c r="AT7" s="16" t="s">
        <v>15</v>
      </c>
      <c r="AU7" s="16" t="s">
        <v>15</v>
      </c>
      <c r="AV7" s="16" t="s">
        <v>15</v>
      </c>
      <c r="AW7" s="71" t="s">
        <v>15</v>
      </c>
      <c r="AX7" s="16"/>
      <c r="AY7" s="16"/>
      <c r="AZ7" s="83" t="s">
        <v>15</v>
      </c>
      <c r="BA7" s="22">
        <f t="shared" si="3"/>
        <v>1</v>
      </c>
      <c r="BB7" s="162" t="s">
        <v>15</v>
      </c>
      <c r="BC7" s="163" t="s">
        <v>15</v>
      </c>
      <c r="BD7" s="16"/>
      <c r="BE7" s="16"/>
      <c r="BF7" s="16"/>
      <c r="BG7" s="71" t="s">
        <v>15</v>
      </c>
      <c r="BH7" s="85" t="s">
        <v>16</v>
      </c>
      <c r="BI7" s="16"/>
      <c r="BJ7" s="21"/>
      <c r="BK7" s="51" t="s">
        <v>16</v>
      </c>
      <c r="BL7" s="65" t="s">
        <v>15</v>
      </c>
      <c r="BM7" s="16" t="s">
        <v>15</v>
      </c>
      <c r="BN7" s="21"/>
      <c r="BO7" s="51" t="s">
        <v>16</v>
      </c>
      <c r="BP7" s="51" t="s">
        <v>16</v>
      </c>
      <c r="BQ7" s="21"/>
      <c r="BR7" s="65" t="s">
        <v>15</v>
      </c>
      <c r="BS7" s="164" t="s">
        <v>15</v>
      </c>
      <c r="BT7" s="21"/>
      <c r="BU7" s="16" t="s">
        <v>15</v>
      </c>
      <c r="BV7" s="16" t="s">
        <v>15</v>
      </c>
      <c r="BW7" s="54" t="s">
        <v>15</v>
      </c>
      <c r="BX7" s="22">
        <f t="shared" si="4"/>
        <v>0.7142857143</v>
      </c>
    </row>
    <row r="8">
      <c r="A8" s="24">
        <v>4.0</v>
      </c>
      <c r="B8" s="81"/>
      <c r="C8" s="58"/>
      <c r="D8" s="43" t="s">
        <v>15</v>
      </c>
      <c r="E8" s="16" t="s">
        <v>15</v>
      </c>
      <c r="F8" s="16" t="s">
        <v>15</v>
      </c>
      <c r="G8" s="16" t="s">
        <v>15</v>
      </c>
      <c r="H8" s="16" t="s">
        <v>15</v>
      </c>
      <c r="I8" s="16" t="s">
        <v>15</v>
      </c>
      <c r="J8" s="16" t="s">
        <v>15</v>
      </c>
      <c r="K8" s="16" t="s">
        <v>15</v>
      </c>
      <c r="L8" s="16" t="s">
        <v>15</v>
      </c>
      <c r="M8" s="43" t="s">
        <v>15</v>
      </c>
      <c r="N8" s="16" t="s">
        <v>15</v>
      </c>
      <c r="O8" s="16" t="s">
        <v>15</v>
      </c>
      <c r="P8" s="16" t="s">
        <v>15</v>
      </c>
      <c r="Q8" s="16" t="s">
        <v>15</v>
      </c>
      <c r="R8" s="16" t="s">
        <v>15</v>
      </c>
      <c r="S8" s="16" t="s">
        <v>15</v>
      </c>
      <c r="T8" s="16" t="s">
        <v>15</v>
      </c>
      <c r="U8" s="16" t="s">
        <v>15</v>
      </c>
      <c r="V8" s="16" t="s">
        <v>15</v>
      </c>
      <c r="W8" s="16" t="s">
        <v>15</v>
      </c>
      <c r="X8" s="22">
        <f t="shared" si="1"/>
        <v>1</v>
      </c>
      <c r="Y8" s="16" t="s">
        <v>15</v>
      </c>
      <c r="Z8" s="16" t="s">
        <v>15</v>
      </c>
      <c r="AA8" s="16" t="s">
        <v>15</v>
      </c>
      <c r="AB8" s="16" t="s">
        <v>15</v>
      </c>
      <c r="AC8" s="16" t="s">
        <v>15</v>
      </c>
      <c r="AD8" s="16" t="s">
        <v>15</v>
      </c>
      <c r="AE8" s="16" t="s">
        <v>15</v>
      </c>
      <c r="AF8" s="16" t="s">
        <v>16</v>
      </c>
      <c r="AG8" s="16" t="s">
        <v>15</v>
      </c>
      <c r="AH8" s="16" t="s">
        <v>15</v>
      </c>
      <c r="AI8" s="16" t="s">
        <v>15</v>
      </c>
      <c r="AJ8" s="16" t="s">
        <v>15</v>
      </c>
      <c r="AK8" s="16" t="s">
        <v>15</v>
      </c>
      <c r="AL8" s="16" t="s">
        <v>16</v>
      </c>
      <c r="AM8" s="143" t="s">
        <v>15</v>
      </c>
      <c r="AN8" s="16" t="s">
        <v>16</v>
      </c>
      <c r="AO8" s="143" t="s">
        <v>15</v>
      </c>
      <c r="AP8" s="16" t="s">
        <v>16</v>
      </c>
      <c r="AQ8" s="16" t="s">
        <v>15</v>
      </c>
      <c r="AR8" s="16" t="s">
        <v>15</v>
      </c>
      <c r="AS8" s="22">
        <f t="shared" si="2"/>
        <v>0.8</v>
      </c>
      <c r="AT8" s="16" t="s">
        <v>16</v>
      </c>
      <c r="AU8" s="16" t="s">
        <v>15</v>
      </c>
      <c r="AV8" s="16" t="s">
        <v>15</v>
      </c>
      <c r="AW8" s="71" t="s">
        <v>15</v>
      </c>
      <c r="AX8" s="16"/>
      <c r="AY8" s="16"/>
      <c r="AZ8" s="83" t="s">
        <v>15</v>
      </c>
      <c r="BA8" s="22">
        <f t="shared" si="3"/>
        <v>0.8</v>
      </c>
      <c r="BB8" s="162" t="s">
        <v>15</v>
      </c>
      <c r="BC8" s="163" t="s">
        <v>15</v>
      </c>
      <c r="BD8" s="16"/>
      <c r="BE8" s="16"/>
      <c r="BF8" s="16"/>
      <c r="BG8" s="71" t="s">
        <v>15</v>
      </c>
      <c r="BH8" s="71" t="s">
        <v>15</v>
      </c>
      <c r="BI8" s="16"/>
      <c r="BJ8" s="21"/>
      <c r="BK8" s="51" t="s">
        <v>16</v>
      </c>
      <c r="BL8" s="65" t="s">
        <v>15</v>
      </c>
      <c r="BM8" s="16" t="s">
        <v>15</v>
      </c>
      <c r="BN8" s="21"/>
      <c r="BO8" s="16" t="s">
        <v>15</v>
      </c>
      <c r="BP8" s="65" t="s">
        <v>15</v>
      </c>
      <c r="BQ8" s="21"/>
      <c r="BR8" s="65" t="s">
        <v>15</v>
      </c>
      <c r="BS8" s="164" t="s">
        <v>15</v>
      </c>
      <c r="BT8" s="21"/>
      <c r="BU8" s="16" t="s">
        <v>15</v>
      </c>
      <c r="BV8" s="16" t="s">
        <v>15</v>
      </c>
      <c r="BW8" s="54" t="s">
        <v>15</v>
      </c>
      <c r="BX8" s="22">
        <f t="shared" si="4"/>
        <v>0.9285714286</v>
      </c>
    </row>
    <row r="9">
      <c r="A9" s="24">
        <v>5.0</v>
      </c>
      <c r="B9" s="62"/>
      <c r="C9" s="58"/>
      <c r="D9" s="43" t="s">
        <v>15</v>
      </c>
      <c r="E9" s="16" t="s">
        <v>15</v>
      </c>
      <c r="F9" s="16" t="s">
        <v>16</v>
      </c>
      <c r="G9" s="16" t="s">
        <v>15</v>
      </c>
      <c r="H9" s="16" t="s">
        <v>15</v>
      </c>
      <c r="I9" s="16" t="s">
        <v>15</v>
      </c>
      <c r="J9" s="16" t="s">
        <v>15</v>
      </c>
      <c r="K9" s="16" t="s">
        <v>15</v>
      </c>
      <c r="L9" s="16" t="s">
        <v>15</v>
      </c>
      <c r="M9" s="43" t="s">
        <v>15</v>
      </c>
      <c r="N9" s="16" t="s">
        <v>16</v>
      </c>
      <c r="O9" s="16" t="s">
        <v>15</v>
      </c>
      <c r="P9" s="16" t="s">
        <v>15</v>
      </c>
      <c r="Q9" s="16" t="s">
        <v>15</v>
      </c>
      <c r="R9" s="16" t="s">
        <v>15</v>
      </c>
      <c r="S9" s="16" t="s">
        <v>15</v>
      </c>
      <c r="T9" s="16" t="s">
        <v>15</v>
      </c>
      <c r="U9" s="16" t="s">
        <v>15</v>
      </c>
      <c r="V9" s="16" t="s">
        <v>16</v>
      </c>
      <c r="W9" s="16" t="s">
        <v>15</v>
      </c>
      <c r="X9" s="22">
        <f t="shared" si="1"/>
        <v>0.85</v>
      </c>
      <c r="Y9" s="16" t="s">
        <v>15</v>
      </c>
      <c r="Z9" s="16" t="s">
        <v>15</v>
      </c>
      <c r="AA9" s="16" t="s">
        <v>15</v>
      </c>
      <c r="AB9" s="16" t="s">
        <v>15</v>
      </c>
      <c r="AC9" s="16" t="s">
        <v>16</v>
      </c>
      <c r="AD9" s="16" t="s">
        <v>15</v>
      </c>
      <c r="AE9" s="16" t="s">
        <v>15</v>
      </c>
      <c r="AF9" s="16" t="s">
        <v>15</v>
      </c>
      <c r="AG9" s="16" t="s">
        <v>15</v>
      </c>
      <c r="AH9" s="16" t="s">
        <v>15</v>
      </c>
      <c r="AI9" s="16" t="s">
        <v>15</v>
      </c>
      <c r="AJ9" s="16" t="s">
        <v>15</v>
      </c>
      <c r="AK9" s="16" t="s">
        <v>15</v>
      </c>
      <c r="AL9" s="16" t="s">
        <v>15</v>
      </c>
      <c r="AM9" s="143" t="s">
        <v>15</v>
      </c>
      <c r="AN9" s="16" t="s">
        <v>16</v>
      </c>
      <c r="AO9" s="143" t="s">
        <v>15</v>
      </c>
      <c r="AP9" s="143" t="s">
        <v>15</v>
      </c>
      <c r="AQ9" s="16" t="s">
        <v>15</v>
      </c>
      <c r="AR9" s="16" t="s">
        <v>15</v>
      </c>
      <c r="AS9" s="22">
        <f t="shared" si="2"/>
        <v>0.9</v>
      </c>
      <c r="AT9" s="16" t="s">
        <v>15</v>
      </c>
      <c r="AU9" s="16" t="s">
        <v>15</v>
      </c>
      <c r="AV9" s="16" t="s">
        <v>15</v>
      </c>
      <c r="AW9" s="71" t="s">
        <v>15</v>
      </c>
      <c r="AX9" s="16"/>
      <c r="AY9" s="16"/>
      <c r="AZ9" s="83" t="s">
        <v>15</v>
      </c>
      <c r="BA9" s="22">
        <f t="shared" si="3"/>
        <v>1</v>
      </c>
      <c r="BB9" s="162" t="s">
        <v>15</v>
      </c>
      <c r="BC9" s="163" t="s">
        <v>15</v>
      </c>
      <c r="BD9" s="16"/>
      <c r="BE9" s="16"/>
      <c r="BF9" s="16"/>
      <c r="BG9" s="71" t="s">
        <v>15</v>
      </c>
      <c r="BH9" s="71" t="s">
        <v>15</v>
      </c>
      <c r="BI9" s="16"/>
      <c r="BJ9" s="21"/>
      <c r="BK9" s="65" t="s">
        <v>15</v>
      </c>
      <c r="BL9" s="65" t="s">
        <v>15</v>
      </c>
      <c r="BM9" s="16" t="s">
        <v>15</v>
      </c>
      <c r="BN9" s="21"/>
      <c r="BO9" s="16" t="s">
        <v>15</v>
      </c>
      <c r="BP9" s="51" t="s">
        <v>16</v>
      </c>
      <c r="BQ9" s="21"/>
      <c r="BR9" s="65" t="s">
        <v>15</v>
      </c>
      <c r="BS9" s="164" t="s">
        <v>15</v>
      </c>
      <c r="BT9" s="21"/>
      <c r="BU9" s="16" t="s">
        <v>15</v>
      </c>
      <c r="BV9" s="16" t="s">
        <v>15</v>
      </c>
      <c r="BW9" s="54" t="s">
        <v>15</v>
      </c>
      <c r="BX9" s="22">
        <f t="shared" si="4"/>
        <v>0.9285714286</v>
      </c>
    </row>
    <row r="10">
      <c r="A10" s="24">
        <v>6.0</v>
      </c>
      <c r="B10" s="81"/>
      <c r="C10" s="58"/>
      <c r="D10" s="159" t="s">
        <v>16</v>
      </c>
      <c r="E10" s="16" t="s">
        <v>15</v>
      </c>
      <c r="F10" s="16" t="s">
        <v>15</v>
      </c>
      <c r="G10" s="16" t="s">
        <v>16</v>
      </c>
      <c r="H10" s="16" t="s">
        <v>15</v>
      </c>
      <c r="I10" s="16" t="s">
        <v>15</v>
      </c>
      <c r="J10" s="16" t="s">
        <v>15</v>
      </c>
      <c r="K10" s="16" t="s">
        <v>15</v>
      </c>
      <c r="L10" s="16" t="s">
        <v>15</v>
      </c>
      <c r="M10" s="43" t="s">
        <v>15</v>
      </c>
      <c r="N10" s="16" t="s">
        <v>15</v>
      </c>
      <c r="O10" s="16" t="s">
        <v>15</v>
      </c>
      <c r="P10" s="16" t="s">
        <v>15</v>
      </c>
      <c r="Q10" s="16" t="s">
        <v>16</v>
      </c>
      <c r="R10" s="16" t="s">
        <v>16</v>
      </c>
      <c r="S10" s="16" t="s">
        <v>16</v>
      </c>
      <c r="T10" s="16" t="s">
        <v>15</v>
      </c>
      <c r="U10" s="16" t="s">
        <v>16</v>
      </c>
      <c r="V10" s="16" t="s">
        <v>15</v>
      </c>
      <c r="W10" s="16" t="s">
        <v>16</v>
      </c>
      <c r="X10" s="22">
        <f t="shared" si="1"/>
        <v>0.65</v>
      </c>
      <c r="Y10" s="16" t="s">
        <v>16</v>
      </c>
      <c r="Z10" s="16" t="s">
        <v>16</v>
      </c>
      <c r="AA10" s="16" t="s">
        <v>16</v>
      </c>
      <c r="AB10" s="16" t="s">
        <v>16</v>
      </c>
      <c r="AC10" s="16" t="s">
        <v>16</v>
      </c>
      <c r="AD10" s="16" t="s">
        <v>16</v>
      </c>
      <c r="AE10" s="16" t="s">
        <v>16</v>
      </c>
      <c r="AF10" s="16" t="s">
        <v>16</v>
      </c>
      <c r="AG10" s="16" t="s">
        <v>16</v>
      </c>
      <c r="AH10" s="16" t="s">
        <v>15</v>
      </c>
      <c r="AI10" s="16" t="s">
        <v>15</v>
      </c>
      <c r="AJ10" s="16" t="s">
        <v>16</v>
      </c>
      <c r="AK10" s="16" t="s">
        <v>16</v>
      </c>
      <c r="AL10" s="16" t="s">
        <v>16</v>
      </c>
      <c r="AM10" s="16" t="s">
        <v>16</v>
      </c>
      <c r="AN10" s="16" t="s">
        <v>16</v>
      </c>
      <c r="AO10" s="16" t="s">
        <v>16</v>
      </c>
      <c r="AP10" s="16" t="s">
        <v>16</v>
      </c>
      <c r="AQ10" s="16" t="s">
        <v>16</v>
      </c>
      <c r="AR10" s="16" t="s">
        <v>16</v>
      </c>
      <c r="AS10" s="22">
        <f t="shared" si="2"/>
        <v>0.1</v>
      </c>
      <c r="AT10" s="16" t="s">
        <v>16</v>
      </c>
      <c r="AU10" s="16" t="s">
        <v>16</v>
      </c>
      <c r="AV10" s="16" t="s">
        <v>15</v>
      </c>
      <c r="AW10" s="71" t="s">
        <v>15</v>
      </c>
      <c r="AX10" s="16"/>
      <c r="AY10" s="16"/>
      <c r="AZ10" s="106" t="s">
        <v>16</v>
      </c>
      <c r="BA10" s="22">
        <f t="shared" si="3"/>
        <v>0.4</v>
      </c>
      <c r="BB10" s="162" t="s">
        <v>15</v>
      </c>
      <c r="BC10" s="172" t="s">
        <v>16</v>
      </c>
      <c r="BD10" s="16"/>
      <c r="BE10" s="16"/>
      <c r="BF10" s="16"/>
      <c r="BG10" s="71" t="s">
        <v>15</v>
      </c>
      <c r="BH10" s="85" t="s">
        <v>16</v>
      </c>
      <c r="BI10" s="16"/>
      <c r="BJ10" s="21"/>
      <c r="BK10" s="65" t="s">
        <v>15</v>
      </c>
      <c r="BL10" s="51" t="s">
        <v>16</v>
      </c>
      <c r="BM10" s="16" t="s">
        <v>15</v>
      </c>
      <c r="BN10" s="21"/>
      <c r="BO10" s="16" t="s">
        <v>15</v>
      </c>
      <c r="BP10" s="51" t="s">
        <v>16</v>
      </c>
      <c r="BQ10" s="21"/>
      <c r="BR10" s="65" t="s">
        <v>15</v>
      </c>
      <c r="BS10" s="164" t="s">
        <v>15</v>
      </c>
      <c r="BT10" s="21"/>
      <c r="BU10" s="16" t="s">
        <v>16</v>
      </c>
      <c r="BV10" s="16" t="s">
        <v>15</v>
      </c>
      <c r="BW10" s="67" t="s">
        <v>16</v>
      </c>
      <c r="BX10" s="22">
        <f t="shared" si="4"/>
        <v>0.5714285714</v>
      </c>
    </row>
    <row r="11">
      <c r="A11" s="24">
        <v>7.0</v>
      </c>
      <c r="B11" s="57"/>
      <c r="C11" s="58"/>
      <c r="D11" s="159" t="s">
        <v>16</v>
      </c>
      <c r="E11" s="16" t="s">
        <v>15</v>
      </c>
      <c r="F11" s="16" t="s">
        <v>15</v>
      </c>
      <c r="G11" s="16" t="s">
        <v>15</v>
      </c>
      <c r="H11" s="16" t="s">
        <v>15</v>
      </c>
      <c r="I11" s="16" t="s">
        <v>16</v>
      </c>
      <c r="J11" s="16" t="s">
        <v>15</v>
      </c>
      <c r="K11" s="16" t="s">
        <v>15</v>
      </c>
      <c r="L11" s="16" t="s">
        <v>16</v>
      </c>
      <c r="M11" s="43" t="s">
        <v>15</v>
      </c>
      <c r="N11" s="16" t="s">
        <v>15</v>
      </c>
      <c r="O11" s="16" t="s">
        <v>16</v>
      </c>
      <c r="P11" s="16" t="s">
        <v>15</v>
      </c>
      <c r="Q11" s="16" t="s">
        <v>16</v>
      </c>
      <c r="R11" s="16" t="s">
        <v>15</v>
      </c>
      <c r="S11" s="16" t="s">
        <v>15</v>
      </c>
      <c r="T11" s="16" t="s">
        <v>15</v>
      </c>
      <c r="U11" s="16" t="s">
        <v>15</v>
      </c>
      <c r="V11" s="16" t="s">
        <v>15</v>
      </c>
      <c r="W11" s="16" t="s">
        <v>15</v>
      </c>
      <c r="X11" s="22">
        <f t="shared" si="1"/>
        <v>0.75</v>
      </c>
      <c r="Y11" s="16" t="s">
        <v>15</v>
      </c>
      <c r="Z11" s="16" t="s">
        <v>15</v>
      </c>
      <c r="AA11" s="16" t="s">
        <v>16</v>
      </c>
      <c r="AB11" s="16" t="s">
        <v>15</v>
      </c>
      <c r="AC11" s="16" t="s">
        <v>16</v>
      </c>
      <c r="AD11" s="16" t="s">
        <v>15</v>
      </c>
      <c r="AE11" s="16" t="s">
        <v>16</v>
      </c>
      <c r="AF11" s="16" t="s">
        <v>15</v>
      </c>
      <c r="AG11" s="16" t="s">
        <v>15</v>
      </c>
      <c r="AH11" s="16" t="s">
        <v>15</v>
      </c>
      <c r="AI11" s="16" t="s">
        <v>15</v>
      </c>
      <c r="AJ11" s="16" t="s">
        <v>16</v>
      </c>
      <c r="AK11" s="16" t="s">
        <v>16</v>
      </c>
      <c r="AL11" s="16" t="s">
        <v>16</v>
      </c>
      <c r="AM11" s="143" t="s">
        <v>15</v>
      </c>
      <c r="AN11" s="16" t="s">
        <v>16</v>
      </c>
      <c r="AO11" s="143" t="s">
        <v>15</v>
      </c>
      <c r="AP11" s="16" t="s">
        <v>16</v>
      </c>
      <c r="AQ11" s="16" t="s">
        <v>15</v>
      </c>
      <c r="AR11" s="16" t="s">
        <v>16</v>
      </c>
      <c r="AS11" s="22">
        <f t="shared" si="2"/>
        <v>0.55</v>
      </c>
      <c r="AT11" s="16" t="s">
        <v>15</v>
      </c>
      <c r="AU11" s="16" t="s">
        <v>16</v>
      </c>
      <c r="AV11" s="16" t="s">
        <v>15</v>
      </c>
      <c r="AW11" s="71" t="s">
        <v>15</v>
      </c>
      <c r="AX11" s="16"/>
      <c r="AY11" s="16"/>
      <c r="AZ11" s="106" t="s">
        <v>16</v>
      </c>
      <c r="BA11" s="22">
        <f t="shared" si="3"/>
        <v>0.6</v>
      </c>
      <c r="BB11" s="162" t="s">
        <v>15</v>
      </c>
      <c r="BC11" s="172" t="s">
        <v>16</v>
      </c>
      <c r="BD11" s="16"/>
      <c r="BE11" s="16"/>
      <c r="BF11" s="16"/>
      <c r="BG11" s="85" t="s">
        <v>16</v>
      </c>
      <c r="BH11" s="71" t="s">
        <v>15</v>
      </c>
      <c r="BI11" s="16"/>
      <c r="BJ11" s="16"/>
      <c r="BK11" s="85" t="s">
        <v>16</v>
      </c>
      <c r="BL11" s="71" t="s">
        <v>15</v>
      </c>
      <c r="BM11" s="16" t="s">
        <v>16</v>
      </c>
      <c r="BN11" s="16"/>
      <c r="BO11" s="51" t="s">
        <v>16</v>
      </c>
      <c r="BP11" s="71" t="s">
        <v>15</v>
      </c>
      <c r="BQ11" s="16"/>
      <c r="BR11" s="71" t="s">
        <v>15</v>
      </c>
      <c r="BS11" s="163" t="s">
        <v>15</v>
      </c>
      <c r="BT11" s="16"/>
      <c r="BU11" s="16" t="s">
        <v>16</v>
      </c>
      <c r="BV11" s="16" t="s">
        <v>15</v>
      </c>
      <c r="BW11" s="106" t="s">
        <v>16</v>
      </c>
      <c r="BX11" s="22">
        <f t="shared" si="4"/>
        <v>0.5</v>
      </c>
    </row>
    <row r="12">
      <c r="A12" s="24">
        <v>8.0</v>
      </c>
      <c r="B12" s="62"/>
      <c r="C12" s="58"/>
      <c r="D12" s="159" t="s">
        <v>16</v>
      </c>
      <c r="E12" s="16" t="s">
        <v>15</v>
      </c>
      <c r="F12" s="16" t="s">
        <v>15</v>
      </c>
      <c r="G12" s="16" t="s">
        <v>15</v>
      </c>
      <c r="H12" s="16" t="s">
        <v>16</v>
      </c>
      <c r="I12" s="16" t="s">
        <v>15</v>
      </c>
      <c r="J12" s="16" t="s">
        <v>15</v>
      </c>
      <c r="K12" s="16" t="s">
        <v>15</v>
      </c>
      <c r="L12" s="16" t="s">
        <v>15</v>
      </c>
      <c r="M12" s="43" t="s">
        <v>15</v>
      </c>
      <c r="N12" s="16" t="s">
        <v>15</v>
      </c>
      <c r="O12" s="16" t="s">
        <v>15</v>
      </c>
      <c r="P12" s="16" t="s">
        <v>15</v>
      </c>
      <c r="Q12" s="16" t="s">
        <v>15</v>
      </c>
      <c r="R12" s="16" t="s">
        <v>15</v>
      </c>
      <c r="S12" s="16" t="s">
        <v>15</v>
      </c>
      <c r="T12" s="16" t="s">
        <v>15</v>
      </c>
      <c r="U12" s="16" t="s">
        <v>15</v>
      </c>
      <c r="V12" s="16" t="s">
        <v>15</v>
      </c>
      <c r="W12" s="16" t="s">
        <v>15</v>
      </c>
      <c r="X12" s="22">
        <f t="shared" si="1"/>
        <v>0.9</v>
      </c>
      <c r="Y12" s="16" t="s">
        <v>15</v>
      </c>
      <c r="Z12" s="16" t="s">
        <v>15</v>
      </c>
      <c r="AA12" s="16" t="s">
        <v>15</v>
      </c>
      <c r="AB12" s="16" t="s">
        <v>15</v>
      </c>
      <c r="AC12" s="16" t="s">
        <v>15</v>
      </c>
      <c r="AD12" s="16" t="s">
        <v>15</v>
      </c>
      <c r="AE12" s="16" t="s">
        <v>15</v>
      </c>
      <c r="AF12" s="16" t="s">
        <v>15</v>
      </c>
      <c r="AG12" s="16" t="s">
        <v>15</v>
      </c>
      <c r="AH12" s="16" t="s">
        <v>15</v>
      </c>
      <c r="AI12" s="16" t="s">
        <v>15</v>
      </c>
      <c r="AJ12" s="16" t="s">
        <v>15</v>
      </c>
      <c r="AK12" s="16" t="s">
        <v>16</v>
      </c>
      <c r="AL12" s="16" t="s">
        <v>15</v>
      </c>
      <c r="AM12" s="143" t="s">
        <v>15</v>
      </c>
      <c r="AN12" s="143" t="s">
        <v>15</v>
      </c>
      <c r="AO12" s="143" t="s">
        <v>15</v>
      </c>
      <c r="AP12" s="143" t="s">
        <v>15</v>
      </c>
      <c r="AQ12" s="16" t="s">
        <v>16</v>
      </c>
      <c r="AR12" s="16" t="s">
        <v>15</v>
      </c>
      <c r="AS12" s="22">
        <f t="shared" si="2"/>
        <v>0.9</v>
      </c>
      <c r="AT12" s="16" t="s">
        <v>15</v>
      </c>
      <c r="AU12" s="16" t="s">
        <v>16</v>
      </c>
      <c r="AV12" s="16" t="s">
        <v>15</v>
      </c>
      <c r="AW12" s="71" t="s">
        <v>15</v>
      </c>
      <c r="AX12" s="16"/>
      <c r="AY12" s="16"/>
      <c r="AZ12" s="83" t="s">
        <v>15</v>
      </c>
      <c r="BA12" s="22">
        <f t="shared" si="3"/>
        <v>0.8</v>
      </c>
      <c r="BB12" s="162" t="s">
        <v>15</v>
      </c>
      <c r="BC12" s="163" t="s">
        <v>15</v>
      </c>
      <c r="BD12" s="16"/>
      <c r="BE12" s="16"/>
      <c r="BF12" s="16"/>
      <c r="BG12" s="71" t="s">
        <v>15</v>
      </c>
      <c r="BH12" s="71" t="s">
        <v>15</v>
      </c>
      <c r="BI12" s="16"/>
      <c r="BJ12" s="21"/>
      <c r="BK12" s="65" t="s">
        <v>15</v>
      </c>
      <c r="BL12" s="65" t="s">
        <v>15</v>
      </c>
      <c r="BM12" s="16" t="s">
        <v>15</v>
      </c>
      <c r="BN12" s="21"/>
      <c r="BO12" s="16" t="s">
        <v>15</v>
      </c>
      <c r="BP12" s="65" t="s">
        <v>15</v>
      </c>
      <c r="BQ12" s="21"/>
      <c r="BR12" s="65" t="s">
        <v>15</v>
      </c>
      <c r="BS12" s="164" t="s">
        <v>15</v>
      </c>
      <c r="BT12" s="21"/>
      <c r="BU12" s="16" t="s">
        <v>15</v>
      </c>
      <c r="BV12" s="16" t="s">
        <v>15</v>
      </c>
      <c r="BW12" s="54" t="s">
        <v>15</v>
      </c>
      <c r="BX12" s="22">
        <f t="shared" si="4"/>
        <v>1</v>
      </c>
    </row>
    <row r="13">
      <c r="A13" s="24">
        <v>9.0</v>
      </c>
      <c r="B13" s="91"/>
      <c r="C13" s="58"/>
      <c r="D13" s="43" t="s">
        <v>15</v>
      </c>
      <c r="E13" s="16" t="s">
        <v>15</v>
      </c>
      <c r="F13" s="16" t="s">
        <v>15</v>
      </c>
      <c r="G13" s="16" t="s">
        <v>15</v>
      </c>
      <c r="H13" s="16" t="s">
        <v>15</v>
      </c>
      <c r="I13" s="16" t="s">
        <v>16</v>
      </c>
      <c r="J13" s="16" t="s">
        <v>15</v>
      </c>
      <c r="K13" s="16" t="s">
        <v>16</v>
      </c>
      <c r="L13" s="16" t="s">
        <v>16</v>
      </c>
      <c r="M13" s="43" t="s">
        <v>15</v>
      </c>
      <c r="N13" s="16" t="s">
        <v>15</v>
      </c>
      <c r="O13" s="16" t="s">
        <v>15</v>
      </c>
      <c r="P13" s="16" t="s">
        <v>15</v>
      </c>
      <c r="Q13" s="16" t="s">
        <v>16</v>
      </c>
      <c r="R13" s="16" t="s">
        <v>16</v>
      </c>
      <c r="S13" s="16" t="s">
        <v>15</v>
      </c>
      <c r="T13" s="16" t="s">
        <v>15</v>
      </c>
      <c r="U13" s="16" t="s">
        <v>15</v>
      </c>
      <c r="V13" s="16" t="s">
        <v>15</v>
      </c>
      <c r="W13" s="16" t="s">
        <v>15</v>
      </c>
      <c r="X13" s="22">
        <f t="shared" si="1"/>
        <v>0.75</v>
      </c>
      <c r="Y13" s="16" t="s">
        <v>15</v>
      </c>
      <c r="Z13" s="16" t="s">
        <v>16</v>
      </c>
      <c r="AA13" s="16" t="s">
        <v>15</v>
      </c>
      <c r="AB13" s="16" t="s">
        <v>15</v>
      </c>
      <c r="AC13" s="16" t="s">
        <v>15</v>
      </c>
      <c r="AD13" s="16" t="s">
        <v>16</v>
      </c>
      <c r="AE13" s="16" t="s">
        <v>16</v>
      </c>
      <c r="AF13" s="16" t="s">
        <v>15</v>
      </c>
      <c r="AG13" s="16" t="s">
        <v>15</v>
      </c>
      <c r="AH13" s="16" t="s">
        <v>15</v>
      </c>
      <c r="AI13" s="16" t="s">
        <v>15</v>
      </c>
      <c r="AJ13" s="16" t="s">
        <v>15</v>
      </c>
      <c r="AK13" s="16" t="s">
        <v>15</v>
      </c>
      <c r="AL13" s="16" t="s">
        <v>15</v>
      </c>
      <c r="AM13" s="143" t="s">
        <v>15</v>
      </c>
      <c r="AN13" s="143" t="s">
        <v>15</v>
      </c>
      <c r="AO13" s="16" t="s">
        <v>16</v>
      </c>
      <c r="AP13" s="16" t="s">
        <v>16</v>
      </c>
      <c r="AQ13" s="16" t="s">
        <v>15</v>
      </c>
      <c r="AR13" s="16" t="s">
        <v>16</v>
      </c>
      <c r="AS13" s="22">
        <f t="shared" si="2"/>
        <v>0.7</v>
      </c>
      <c r="AT13" s="16" t="s">
        <v>16</v>
      </c>
      <c r="AU13" s="16" t="s">
        <v>16</v>
      </c>
      <c r="AV13" s="16" t="s">
        <v>15</v>
      </c>
      <c r="AW13" s="71" t="s">
        <v>15</v>
      </c>
      <c r="AX13" s="16"/>
      <c r="AY13" s="16"/>
      <c r="AZ13" s="106" t="s">
        <v>16</v>
      </c>
      <c r="BA13" s="22">
        <f t="shared" si="3"/>
        <v>0.4</v>
      </c>
      <c r="BB13" s="162" t="s">
        <v>15</v>
      </c>
      <c r="BC13" s="163" t="s">
        <v>15</v>
      </c>
      <c r="BD13" s="16"/>
      <c r="BE13" s="16"/>
      <c r="BF13" s="16"/>
      <c r="BG13" s="85" t="s">
        <v>16</v>
      </c>
      <c r="BH13" s="71" t="s">
        <v>15</v>
      </c>
      <c r="BI13" s="16"/>
      <c r="BJ13" s="21"/>
      <c r="BK13" s="51" t="s">
        <v>16</v>
      </c>
      <c r="BL13" s="65" t="s">
        <v>15</v>
      </c>
      <c r="BM13" s="16" t="s">
        <v>15</v>
      </c>
      <c r="BN13" s="21"/>
      <c r="BO13" s="51" t="s">
        <v>16</v>
      </c>
      <c r="BP13" s="65" t="s">
        <v>15</v>
      </c>
      <c r="BQ13" s="21"/>
      <c r="BR13" s="65" t="s">
        <v>15</v>
      </c>
      <c r="BS13" s="164" t="s">
        <v>15</v>
      </c>
      <c r="BT13" s="21"/>
      <c r="BU13" s="16" t="s">
        <v>15</v>
      </c>
      <c r="BV13" s="16" t="s">
        <v>15</v>
      </c>
      <c r="BW13" s="67" t="s">
        <v>16</v>
      </c>
      <c r="BX13" s="22">
        <f t="shared" si="4"/>
        <v>0.7142857143</v>
      </c>
    </row>
    <row r="14">
      <c r="A14" s="24">
        <v>10.0</v>
      </c>
      <c r="B14" s="91"/>
      <c r="C14" s="63"/>
      <c r="D14" s="43" t="s">
        <v>15</v>
      </c>
      <c r="E14" s="16" t="s">
        <v>15</v>
      </c>
      <c r="F14" s="16" t="s">
        <v>15</v>
      </c>
      <c r="G14" s="16" t="s">
        <v>15</v>
      </c>
      <c r="H14" s="16" t="s">
        <v>15</v>
      </c>
      <c r="I14" s="16" t="s">
        <v>15</v>
      </c>
      <c r="J14" s="16" t="s">
        <v>15</v>
      </c>
      <c r="K14" s="16" t="s">
        <v>15</v>
      </c>
      <c r="L14" s="154" t="s">
        <v>15</v>
      </c>
      <c r="M14" s="43" t="s">
        <v>15</v>
      </c>
      <c r="N14" s="156" t="s">
        <v>15</v>
      </c>
      <c r="O14" s="156" t="s">
        <v>15</v>
      </c>
      <c r="P14" s="156" t="s">
        <v>15</v>
      </c>
      <c r="Q14" s="156" t="s">
        <v>15</v>
      </c>
      <c r="R14" s="156" t="s">
        <v>15</v>
      </c>
      <c r="S14" s="156" t="s">
        <v>15</v>
      </c>
      <c r="T14" s="16" t="s">
        <v>15</v>
      </c>
      <c r="U14" s="154" t="s">
        <v>15</v>
      </c>
      <c r="V14" s="154" t="s">
        <v>15</v>
      </c>
      <c r="W14" s="154" t="s">
        <v>15</v>
      </c>
      <c r="X14" s="22">
        <f t="shared" si="1"/>
        <v>1</v>
      </c>
      <c r="Y14" s="16" t="s">
        <v>15</v>
      </c>
      <c r="Z14" s="16" t="s">
        <v>15</v>
      </c>
      <c r="AA14" s="16" t="s">
        <v>15</v>
      </c>
      <c r="AB14" s="16" t="s">
        <v>15</v>
      </c>
      <c r="AC14" s="16" t="s">
        <v>15</v>
      </c>
      <c r="AD14" s="16" t="s">
        <v>15</v>
      </c>
      <c r="AE14" s="16" t="s">
        <v>15</v>
      </c>
      <c r="AF14" s="16" t="s">
        <v>15</v>
      </c>
      <c r="AG14" s="16" t="s">
        <v>15</v>
      </c>
      <c r="AH14" s="16" t="s">
        <v>15</v>
      </c>
      <c r="AI14" s="16" t="s">
        <v>15</v>
      </c>
      <c r="AJ14" s="16" t="s">
        <v>15</v>
      </c>
      <c r="AK14" s="16" t="s">
        <v>16</v>
      </c>
      <c r="AL14" s="16" t="s">
        <v>15</v>
      </c>
      <c r="AM14" s="143" t="s">
        <v>15</v>
      </c>
      <c r="AN14" s="16" t="s">
        <v>16</v>
      </c>
      <c r="AO14" s="143" t="s">
        <v>15</v>
      </c>
      <c r="AP14" s="143" t="s">
        <v>15</v>
      </c>
      <c r="AQ14" s="16" t="s">
        <v>15</v>
      </c>
      <c r="AR14" s="16" t="s">
        <v>16</v>
      </c>
      <c r="AS14" s="22">
        <f t="shared" si="2"/>
        <v>0.85</v>
      </c>
      <c r="AT14" s="16" t="s">
        <v>16</v>
      </c>
      <c r="AU14" s="16" t="s">
        <v>16</v>
      </c>
      <c r="AV14" s="16" t="s">
        <v>15</v>
      </c>
      <c r="AW14" s="71" t="s">
        <v>15</v>
      </c>
      <c r="AX14" s="16"/>
      <c r="AY14" s="16"/>
      <c r="AZ14" s="106" t="s">
        <v>16</v>
      </c>
      <c r="BA14" s="22">
        <f t="shared" si="3"/>
        <v>0.4</v>
      </c>
      <c r="BB14" s="162" t="s">
        <v>15</v>
      </c>
      <c r="BC14" s="163" t="s">
        <v>15</v>
      </c>
      <c r="BD14" s="16"/>
      <c r="BE14" s="16"/>
      <c r="BF14" s="16"/>
      <c r="BG14" s="85" t="s">
        <v>16</v>
      </c>
      <c r="BH14" s="71" t="s">
        <v>15</v>
      </c>
      <c r="BI14" s="16"/>
      <c r="BJ14" s="21"/>
      <c r="BK14" s="65" t="s">
        <v>15</v>
      </c>
      <c r="BL14" s="65" t="s">
        <v>15</v>
      </c>
      <c r="BM14" s="16" t="s">
        <v>15</v>
      </c>
      <c r="BN14" s="21"/>
      <c r="BO14" s="16" t="s">
        <v>15</v>
      </c>
      <c r="BP14" s="65" t="s">
        <v>15</v>
      </c>
      <c r="BQ14" s="21"/>
      <c r="BR14" s="65" t="s">
        <v>15</v>
      </c>
      <c r="BS14" s="164" t="s">
        <v>15</v>
      </c>
      <c r="BT14" s="21"/>
      <c r="BU14" s="16" t="s">
        <v>16</v>
      </c>
      <c r="BV14" s="16" t="s">
        <v>15</v>
      </c>
      <c r="BW14" s="67" t="s">
        <v>16</v>
      </c>
      <c r="BX14" s="22">
        <f t="shared" si="4"/>
        <v>0.7857142857</v>
      </c>
    </row>
    <row r="15">
      <c r="A15" s="24">
        <v>11.0</v>
      </c>
      <c r="B15" s="62"/>
      <c r="C15" s="26"/>
      <c r="D15" s="159" t="s">
        <v>16</v>
      </c>
      <c r="E15" s="16" t="s">
        <v>15</v>
      </c>
      <c r="F15" s="16" t="s">
        <v>15</v>
      </c>
      <c r="G15" s="16" t="s">
        <v>15</v>
      </c>
      <c r="H15" s="16" t="s">
        <v>16</v>
      </c>
      <c r="I15" s="16" t="s">
        <v>15</v>
      </c>
      <c r="J15" s="16" t="s">
        <v>15</v>
      </c>
      <c r="K15" s="16" t="s">
        <v>15</v>
      </c>
      <c r="L15" s="16" t="s">
        <v>16</v>
      </c>
      <c r="M15" s="43" t="s">
        <v>15</v>
      </c>
      <c r="N15" s="16" t="s">
        <v>15</v>
      </c>
      <c r="O15" s="16" t="s">
        <v>15</v>
      </c>
      <c r="P15" s="16" t="s">
        <v>15</v>
      </c>
      <c r="Q15" s="16" t="s">
        <v>15</v>
      </c>
      <c r="R15" s="16" t="s">
        <v>15</v>
      </c>
      <c r="S15" s="16" t="s">
        <v>15</v>
      </c>
      <c r="T15" s="16" t="s">
        <v>15</v>
      </c>
      <c r="U15" s="16" t="s">
        <v>15</v>
      </c>
      <c r="V15" s="16" t="s">
        <v>16</v>
      </c>
      <c r="W15" s="16" t="s">
        <v>15</v>
      </c>
      <c r="X15" s="22">
        <f t="shared" si="1"/>
        <v>0.8</v>
      </c>
      <c r="Y15" s="16" t="s">
        <v>15</v>
      </c>
      <c r="Z15" s="16" t="s">
        <v>15</v>
      </c>
      <c r="AA15" s="16" t="s">
        <v>15</v>
      </c>
      <c r="AB15" s="16" t="s">
        <v>15</v>
      </c>
      <c r="AC15" s="16" t="s">
        <v>15</v>
      </c>
      <c r="AD15" s="16" t="s">
        <v>15</v>
      </c>
      <c r="AE15" s="16" t="s">
        <v>16</v>
      </c>
      <c r="AF15" s="16" t="s">
        <v>15</v>
      </c>
      <c r="AG15" s="16" t="s">
        <v>16</v>
      </c>
      <c r="AH15" s="16" t="s">
        <v>15</v>
      </c>
      <c r="AI15" s="16" t="s">
        <v>15</v>
      </c>
      <c r="AJ15" s="16" t="s">
        <v>15</v>
      </c>
      <c r="AK15" s="16" t="s">
        <v>16</v>
      </c>
      <c r="AL15" s="16" t="s">
        <v>15</v>
      </c>
      <c r="AM15" s="143" t="s">
        <v>15</v>
      </c>
      <c r="AN15" s="16" t="s">
        <v>16</v>
      </c>
      <c r="AO15" s="143" t="s">
        <v>15</v>
      </c>
      <c r="AP15" s="16" t="s">
        <v>16</v>
      </c>
      <c r="AQ15" s="16" t="s">
        <v>16</v>
      </c>
      <c r="AR15" s="16" t="s">
        <v>15</v>
      </c>
      <c r="AS15" s="22">
        <f t="shared" si="2"/>
        <v>0.7</v>
      </c>
      <c r="AT15" s="16" t="s">
        <v>16</v>
      </c>
      <c r="AU15" s="16" t="s">
        <v>16</v>
      </c>
      <c r="AV15" s="16" t="s">
        <v>15</v>
      </c>
      <c r="AW15" s="85" t="s">
        <v>16</v>
      </c>
      <c r="AX15" s="16"/>
      <c r="AY15" s="16"/>
      <c r="AZ15" s="83" t="s">
        <v>15</v>
      </c>
      <c r="BA15" s="22">
        <f t="shared" si="3"/>
        <v>0.4</v>
      </c>
      <c r="BB15" s="162" t="s">
        <v>15</v>
      </c>
      <c r="BC15" s="163" t="s">
        <v>15</v>
      </c>
      <c r="BD15" s="16"/>
      <c r="BE15" s="16"/>
      <c r="BF15" s="16"/>
      <c r="BG15" s="85" t="s">
        <v>16</v>
      </c>
      <c r="BH15" s="71" t="s">
        <v>15</v>
      </c>
      <c r="BI15" s="16"/>
      <c r="BJ15" s="21"/>
      <c r="BK15" s="65" t="s">
        <v>15</v>
      </c>
      <c r="BL15" s="51" t="s">
        <v>16</v>
      </c>
      <c r="BM15" s="16" t="s">
        <v>15</v>
      </c>
      <c r="BN15" s="21"/>
      <c r="BO15" s="16" t="s">
        <v>15</v>
      </c>
      <c r="BP15" s="65" t="s">
        <v>15</v>
      </c>
      <c r="BQ15" s="21"/>
      <c r="BR15" s="65" t="s">
        <v>15</v>
      </c>
      <c r="BS15" s="164" t="s">
        <v>15</v>
      </c>
      <c r="BT15" s="21"/>
      <c r="BU15" s="16" t="s">
        <v>15</v>
      </c>
      <c r="BV15" s="16" t="s">
        <v>15</v>
      </c>
      <c r="BW15" s="54" t="s">
        <v>15</v>
      </c>
      <c r="BX15" s="22">
        <f t="shared" si="4"/>
        <v>0.8571428571</v>
      </c>
    </row>
    <row r="16">
      <c r="A16" s="24">
        <v>12.0</v>
      </c>
      <c r="B16" s="62"/>
      <c r="C16" s="58"/>
      <c r="D16" s="43" t="s">
        <v>15</v>
      </c>
      <c r="E16" s="16" t="s">
        <v>15</v>
      </c>
      <c r="F16" s="16" t="s">
        <v>15</v>
      </c>
      <c r="G16" s="16" t="s">
        <v>15</v>
      </c>
      <c r="H16" s="16" t="s">
        <v>16</v>
      </c>
      <c r="I16" s="16" t="s">
        <v>15</v>
      </c>
      <c r="J16" s="16" t="s">
        <v>15</v>
      </c>
      <c r="K16" s="16" t="s">
        <v>15</v>
      </c>
      <c r="L16" s="16" t="s">
        <v>15</v>
      </c>
      <c r="M16" s="43" t="s">
        <v>15</v>
      </c>
      <c r="N16" s="16" t="s">
        <v>15</v>
      </c>
      <c r="O16" s="16" t="s">
        <v>15</v>
      </c>
      <c r="P16" s="16" t="s">
        <v>15</v>
      </c>
      <c r="Q16" s="16" t="s">
        <v>15</v>
      </c>
      <c r="R16" s="16" t="s">
        <v>15</v>
      </c>
      <c r="S16" s="16" t="s">
        <v>15</v>
      </c>
      <c r="T16" s="16" t="s">
        <v>15</v>
      </c>
      <c r="U16" s="16" t="s">
        <v>15</v>
      </c>
      <c r="V16" s="16" t="s">
        <v>15</v>
      </c>
      <c r="W16" s="16" t="s">
        <v>15</v>
      </c>
      <c r="X16" s="22">
        <f t="shared" si="1"/>
        <v>0.95</v>
      </c>
      <c r="Y16" s="16" t="s">
        <v>15</v>
      </c>
      <c r="Z16" s="16" t="s">
        <v>15</v>
      </c>
      <c r="AA16" s="16" t="s">
        <v>15</v>
      </c>
      <c r="AB16" s="16" t="s">
        <v>15</v>
      </c>
      <c r="AC16" s="16" t="s">
        <v>15</v>
      </c>
      <c r="AD16" s="16" t="s">
        <v>15</v>
      </c>
      <c r="AE16" s="16" t="s">
        <v>15</v>
      </c>
      <c r="AF16" s="16" t="s">
        <v>15</v>
      </c>
      <c r="AG16" s="16" t="s">
        <v>15</v>
      </c>
      <c r="AH16" s="16" t="s">
        <v>15</v>
      </c>
      <c r="AI16" s="16" t="s">
        <v>15</v>
      </c>
      <c r="AJ16" s="16" t="s">
        <v>15</v>
      </c>
      <c r="AK16" s="16" t="s">
        <v>16</v>
      </c>
      <c r="AL16" s="16" t="s">
        <v>15</v>
      </c>
      <c r="AM16" s="143" t="s">
        <v>15</v>
      </c>
      <c r="AN16" s="143" t="s">
        <v>15</v>
      </c>
      <c r="AO16" s="143" t="s">
        <v>15</v>
      </c>
      <c r="AP16" s="143" t="s">
        <v>15</v>
      </c>
      <c r="AQ16" s="16" t="s">
        <v>16</v>
      </c>
      <c r="AR16" s="16" t="s">
        <v>15</v>
      </c>
      <c r="AS16" s="22">
        <f t="shared" si="2"/>
        <v>0.9</v>
      </c>
      <c r="AT16" s="16" t="s">
        <v>15</v>
      </c>
      <c r="AU16" s="16" t="s">
        <v>15</v>
      </c>
      <c r="AV16" s="16" t="s">
        <v>15</v>
      </c>
      <c r="AW16" s="71" t="s">
        <v>15</v>
      </c>
      <c r="AX16" s="16"/>
      <c r="AY16" s="16"/>
      <c r="AZ16" s="83" t="s">
        <v>15</v>
      </c>
      <c r="BA16" s="22">
        <f t="shared" si="3"/>
        <v>1</v>
      </c>
      <c r="BB16" s="162" t="s">
        <v>15</v>
      </c>
      <c r="BC16" s="163" t="s">
        <v>15</v>
      </c>
      <c r="BD16" s="16"/>
      <c r="BE16" s="16"/>
      <c r="BF16" s="16"/>
      <c r="BG16" s="71" t="s">
        <v>15</v>
      </c>
      <c r="BH16" s="71" t="s">
        <v>15</v>
      </c>
      <c r="BI16" s="16"/>
      <c r="BJ16" s="21"/>
      <c r="BK16" s="65" t="s">
        <v>15</v>
      </c>
      <c r="BL16" s="65" t="s">
        <v>15</v>
      </c>
      <c r="BM16" s="16" t="s">
        <v>15</v>
      </c>
      <c r="BN16" s="21"/>
      <c r="BO16" s="16" t="s">
        <v>15</v>
      </c>
      <c r="BP16" s="65" t="s">
        <v>15</v>
      </c>
      <c r="BQ16" s="21"/>
      <c r="BR16" s="65" t="s">
        <v>15</v>
      </c>
      <c r="BS16" s="164" t="s">
        <v>15</v>
      </c>
      <c r="BT16" s="21"/>
      <c r="BU16" s="16" t="s">
        <v>15</v>
      </c>
      <c r="BV16" s="16" t="s">
        <v>15</v>
      </c>
      <c r="BW16" s="54" t="s">
        <v>15</v>
      </c>
      <c r="BX16" s="22">
        <f t="shared" si="4"/>
        <v>1</v>
      </c>
    </row>
    <row r="17">
      <c r="A17" s="24">
        <v>13.0</v>
      </c>
      <c r="B17" s="62"/>
      <c r="C17" s="113"/>
      <c r="D17" s="43" t="s">
        <v>15</v>
      </c>
      <c r="E17" s="16" t="s">
        <v>15</v>
      </c>
      <c r="F17" s="16" t="s">
        <v>15</v>
      </c>
      <c r="G17" s="16" t="s">
        <v>15</v>
      </c>
      <c r="H17" s="16" t="s">
        <v>16</v>
      </c>
      <c r="I17" s="16" t="s">
        <v>16</v>
      </c>
      <c r="J17" s="16" t="s">
        <v>15</v>
      </c>
      <c r="K17" s="16" t="s">
        <v>15</v>
      </c>
      <c r="L17" s="16" t="s">
        <v>15</v>
      </c>
      <c r="M17" s="43" t="s">
        <v>15</v>
      </c>
      <c r="N17" s="16" t="s">
        <v>15</v>
      </c>
      <c r="O17" s="16" t="s">
        <v>15</v>
      </c>
      <c r="P17" s="16" t="s">
        <v>16</v>
      </c>
      <c r="Q17" s="16" t="s">
        <v>15</v>
      </c>
      <c r="R17" s="16" t="s">
        <v>16</v>
      </c>
      <c r="S17" s="16" t="s">
        <v>15</v>
      </c>
      <c r="T17" s="16" t="s">
        <v>15</v>
      </c>
      <c r="U17" s="16" t="s">
        <v>15</v>
      </c>
      <c r="V17" s="16" t="s">
        <v>15</v>
      </c>
      <c r="W17" s="16" t="s">
        <v>15</v>
      </c>
      <c r="X17" s="22">
        <f t="shared" si="1"/>
        <v>0.8</v>
      </c>
      <c r="Y17" s="16" t="s">
        <v>15</v>
      </c>
      <c r="Z17" s="16" t="s">
        <v>15</v>
      </c>
      <c r="AA17" s="16" t="s">
        <v>16</v>
      </c>
      <c r="AB17" s="16" t="s">
        <v>15</v>
      </c>
      <c r="AC17" s="16" t="s">
        <v>15</v>
      </c>
      <c r="AD17" s="16" t="s">
        <v>15</v>
      </c>
      <c r="AE17" s="16" t="s">
        <v>16</v>
      </c>
      <c r="AF17" s="16" t="s">
        <v>15</v>
      </c>
      <c r="AG17" s="16" t="s">
        <v>15</v>
      </c>
      <c r="AH17" s="16" t="s">
        <v>15</v>
      </c>
      <c r="AI17" s="16" t="s">
        <v>16</v>
      </c>
      <c r="AJ17" s="16" t="s">
        <v>15</v>
      </c>
      <c r="AK17" s="16" t="s">
        <v>15</v>
      </c>
      <c r="AL17" s="16" t="s">
        <v>15</v>
      </c>
      <c r="AM17" s="143" t="s">
        <v>15</v>
      </c>
      <c r="AN17" s="16" t="s">
        <v>16</v>
      </c>
      <c r="AO17" s="143" t="s">
        <v>15</v>
      </c>
      <c r="AP17" s="16" t="s">
        <v>16</v>
      </c>
      <c r="AQ17" s="16" t="s">
        <v>15</v>
      </c>
      <c r="AR17" s="16" t="s">
        <v>15</v>
      </c>
      <c r="AS17" s="22">
        <f t="shared" si="2"/>
        <v>0.75</v>
      </c>
      <c r="AT17" s="16" t="s">
        <v>16</v>
      </c>
      <c r="AU17" s="16" t="s">
        <v>16</v>
      </c>
      <c r="AV17" s="16" t="s">
        <v>15</v>
      </c>
      <c r="AW17" s="71" t="s">
        <v>15</v>
      </c>
      <c r="AX17" s="16"/>
      <c r="AY17" s="16"/>
      <c r="AZ17" s="83" t="s">
        <v>15</v>
      </c>
      <c r="BA17" s="22">
        <f t="shared" si="3"/>
        <v>0.6</v>
      </c>
      <c r="BB17" s="162" t="s">
        <v>15</v>
      </c>
      <c r="BC17" s="163" t="s">
        <v>15</v>
      </c>
      <c r="BD17" s="16"/>
      <c r="BE17" s="16"/>
      <c r="BF17" s="16"/>
      <c r="BG17" s="71" t="s">
        <v>15</v>
      </c>
      <c r="BH17" s="71" t="s">
        <v>15</v>
      </c>
      <c r="BI17" s="16"/>
      <c r="BJ17" s="21"/>
      <c r="BK17" s="65" t="s">
        <v>15</v>
      </c>
      <c r="BL17" s="65" t="s">
        <v>15</v>
      </c>
      <c r="BM17" s="16" t="s">
        <v>15</v>
      </c>
      <c r="BN17" s="21"/>
      <c r="BO17" s="51" t="s">
        <v>16</v>
      </c>
      <c r="BP17" s="65" t="s">
        <v>15</v>
      </c>
      <c r="BQ17" s="21"/>
      <c r="BR17" s="51" t="s">
        <v>16</v>
      </c>
      <c r="BS17" s="164" t="s">
        <v>15</v>
      </c>
      <c r="BT17" s="21"/>
      <c r="BU17" s="16" t="s">
        <v>15</v>
      </c>
      <c r="BV17" s="16" t="s">
        <v>16</v>
      </c>
      <c r="BW17" s="54" t="s">
        <v>15</v>
      </c>
      <c r="BX17" s="22">
        <f t="shared" si="4"/>
        <v>0.7857142857</v>
      </c>
    </row>
    <row r="18">
      <c r="A18" s="24">
        <v>14.0</v>
      </c>
      <c r="B18" s="173"/>
      <c r="C18" s="149" t="s">
        <v>19</v>
      </c>
      <c r="D18" s="174" t="s">
        <v>20</v>
      </c>
      <c r="E18" s="174" t="s">
        <v>20</v>
      </c>
      <c r="F18" s="174" t="s">
        <v>20</v>
      </c>
      <c r="G18" s="174" t="s">
        <v>20</v>
      </c>
      <c r="H18" s="150" t="s">
        <v>20</v>
      </c>
      <c r="I18" s="150"/>
      <c r="J18" s="150" t="s">
        <v>20</v>
      </c>
      <c r="K18" s="150" t="s">
        <v>20</v>
      </c>
      <c r="L18" s="174" t="s">
        <v>20</v>
      </c>
      <c r="M18" s="49" t="s">
        <v>18</v>
      </c>
      <c r="N18" s="150" t="s">
        <v>20</v>
      </c>
      <c r="O18" s="174" t="s">
        <v>20</v>
      </c>
      <c r="P18" s="174" t="s">
        <v>20</v>
      </c>
      <c r="Q18" s="174" t="s">
        <v>20</v>
      </c>
      <c r="R18" s="150"/>
      <c r="S18" s="150"/>
      <c r="T18" s="150" t="s">
        <v>20</v>
      </c>
      <c r="U18" s="174" t="s">
        <v>20</v>
      </c>
      <c r="V18" s="174" t="s">
        <v>20</v>
      </c>
      <c r="W18" s="150"/>
      <c r="X18" s="48" t="str">
        <f t="shared" si="1"/>
        <v>0,00%</v>
      </c>
      <c r="Y18" s="150"/>
      <c r="Z18" s="150"/>
      <c r="AA18" s="150"/>
      <c r="AB18" s="150"/>
      <c r="AC18" s="150"/>
      <c r="AD18" s="150"/>
      <c r="AE18" s="150"/>
      <c r="AF18" s="150"/>
      <c r="AG18" s="150"/>
      <c r="AH18" s="174" t="s">
        <v>20</v>
      </c>
      <c r="AI18" s="174" t="s">
        <v>20</v>
      </c>
      <c r="AJ18" s="174" t="s">
        <v>20</v>
      </c>
      <c r="AK18" s="150"/>
      <c r="AL18" s="150"/>
      <c r="AM18" s="150"/>
      <c r="AN18" s="150"/>
      <c r="AO18" s="150"/>
      <c r="AP18" s="150"/>
      <c r="AQ18" s="150"/>
      <c r="AR18" s="174" t="s">
        <v>20</v>
      </c>
      <c r="AS18" s="48" t="str">
        <f t="shared" si="2"/>
        <v>0,00%</v>
      </c>
      <c r="AT18" s="174" t="s">
        <v>20</v>
      </c>
      <c r="AU18" s="174" t="s">
        <v>20</v>
      </c>
      <c r="AV18" s="174"/>
      <c r="AW18" s="74" t="s">
        <v>18</v>
      </c>
      <c r="AX18" s="150"/>
      <c r="AY18" s="150"/>
      <c r="AZ18" s="76" t="s">
        <v>18</v>
      </c>
      <c r="BA18" s="48" t="str">
        <f t="shared" si="3"/>
        <v>0,00%</v>
      </c>
      <c r="BB18" s="175" t="s">
        <v>18</v>
      </c>
      <c r="BC18" s="176" t="s">
        <v>18</v>
      </c>
      <c r="BD18" s="150"/>
      <c r="BE18" s="150"/>
      <c r="BF18" s="150"/>
      <c r="BG18" s="74" t="s">
        <v>18</v>
      </c>
      <c r="BH18" s="74" t="s">
        <v>18</v>
      </c>
      <c r="BI18" s="150"/>
      <c r="BJ18" s="150"/>
      <c r="BK18" s="74" t="s">
        <v>18</v>
      </c>
      <c r="BL18" s="74" t="s">
        <v>18</v>
      </c>
      <c r="BM18" s="150"/>
      <c r="BN18" s="150"/>
      <c r="BO18" s="150"/>
      <c r="BP18" s="74" t="s">
        <v>18</v>
      </c>
      <c r="BQ18" s="150"/>
      <c r="BR18" s="74" t="s">
        <v>18</v>
      </c>
      <c r="BS18" s="176" t="s">
        <v>18</v>
      </c>
      <c r="BT18" s="150"/>
      <c r="BU18" s="150"/>
      <c r="BV18" s="150"/>
      <c r="BW18" s="76" t="s">
        <v>18</v>
      </c>
      <c r="BX18" s="48" t="str">
        <f t="shared" si="4"/>
        <v>0,00%</v>
      </c>
    </row>
    <row r="19">
      <c r="A19" s="24">
        <v>15.0</v>
      </c>
      <c r="B19" s="62"/>
      <c r="C19" s="58"/>
      <c r="D19" s="159" t="s">
        <v>16</v>
      </c>
      <c r="E19" s="16" t="s">
        <v>15</v>
      </c>
      <c r="F19" s="16" t="s">
        <v>15</v>
      </c>
      <c r="G19" s="16" t="s">
        <v>15</v>
      </c>
      <c r="H19" s="16" t="s">
        <v>16</v>
      </c>
      <c r="I19" s="16" t="s">
        <v>15</v>
      </c>
      <c r="J19" s="16" t="s">
        <v>15</v>
      </c>
      <c r="K19" s="16" t="s">
        <v>15</v>
      </c>
      <c r="L19" s="16" t="s">
        <v>15</v>
      </c>
      <c r="M19" s="43" t="s">
        <v>15</v>
      </c>
      <c r="N19" s="16" t="s">
        <v>15</v>
      </c>
      <c r="O19" s="16" t="s">
        <v>16</v>
      </c>
      <c r="P19" s="16" t="s">
        <v>15</v>
      </c>
      <c r="Q19" s="16" t="s">
        <v>15</v>
      </c>
      <c r="R19" s="16" t="s">
        <v>15</v>
      </c>
      <c r="S19" s="16" t="s">
        <v>16</v>
      </c>
      <c r="T19" s="16" t="s">
        <v>15</v>
      </c>
      <c r="U19" s="16" t="s">
        <v>15</v>
      </c>
      <c r="V19" s="16" t="s">
        <v>15</v>
      </c>
      <c r="W19" s="16" t="s">
        <v>15</v>
      </c>
      <c r="X19" s="22">
        <f t="shared" si="1"/>
        <v>0.8</v>
      </c>
      <c r="Y19" s="16" t="s">
        <v>15</v>
      </c>
      <c r="Z19" s="16" t="s">
        <v>15</v>
      </c>
      <c r="AA19" s="16" t="s">
        <v>16</v>
      </c>
      <c r="AB19" s="16" t="s">
        <v>15</v>
      </c>
      <c r="AC19" s="16" t="s">
        <v>15</v>
      </c>
      <c r="AD19" s="16" t="s">
        <v>15</v>
      </c>
      <c r="AE19" s="16" t="s">
        <v>16</v>
      </c>
      <c r="AF19" s="16" t="s">
        <v>15</v>
      </c>
      <c r="AG19" s="16" t="s">
        <v>15</v>
      </c>
      <c r="AH19" s="16" t="s">
        <v>16</v>
      </c>
      <c r="AI19" s="16" t="s">
        <v>15</v>
      </c>
      <c r="AJ19" s="16" t="s">
        <v>15</v>
      </c>
      <c r="AK19" s="16" t="s">
        <v>15</v>
      </c>
      <c r="AL19" s="16" t="s">
        <v>15</v>
      </c>
      <c r="AM19" s="16" t="s">
        <v>16</v>
      </c>
      <c r="AN19" s="143" t="s">
        <v>15</v>
      </c>
      <c r="AO19" s="143" t="s">
        <v>15</v>
      </c>
      <c r="AP19" s="143" t="s">
        <v>15</v>
      </c>
      <c r="AQ19" s="16" t="s">
        <v>15</v>
      </c>
      <c r="AR19" s="16" t="s">
        <v>15</v>
      </c>
      <c r="AS19" s="22">
        <f t="shared" si="2"/>
        <v>0.8</v>
      </c>
      <c r="AT19" s="16" t="s">
        <v>15</v>
      </c>
      <c r="AU19" s="16" t="s">
        <v>15</v>
      </c>
      <c r="AV19" s="16" t="s">
        <v>15</v>
      </c>
      <c r="AW19" s="71" t="s">
        <v>15</v>
      </c>
      <c r="AX19" s="16"/>
      <c r="AY19" s="16"/>
      <c r="AZ19" s="83" t="s">
        <v>15</v>
      </c>
      <c r="BA19" s="22">
        <f t="shared" si="3"/>
        <v>1</v>
      </c>
      <c r="BB19" s="162" t="s">
        <v>15</v>
      </c>
      <c r="BC19" s="163" t="s">
        <v>15</v>
      </c>
      <c r="BD19" s="16"/>
      <c r="BE19" s="16"/>
      <c r="BF19" s="16"/>
      <c r="BG19" s="71" t="s">
        <v>15</v>
      </c>
      <c r="BH19" s="71" t="s">
        <v>15</v>
      </c>
      <c r="BI19" s="16"/>
      <c r="BJ19" s="21"/>
      <c r="BK19" s="65" t="s">
        <v>15</v>
      </c>
      <c r="BL19" s="65" t="s">
        <v>15</v>
      </c>
      <c r="BM19" s="16" t="s">
        <v>15</v>
      </c>
      <c r="BN19" s="21"/>
      <c r="BO19" s="51" t="s">
        <v>16</v>
      </c>
      <c r="BP19" s="65" t="s">
        <v>15</v>
      </c>
      <c r="BQ19" s="21"/>
      <c r="BR19" s="65" t="s">
        <v>15</v>
      </c>
      <c r="BS19" s="164" t="s">
        <v>15</v>
      </c>
      <c r="BT19" s="21"/>
      <c r="BU19" s="16" t="s">
        <v>15</v>
      </c>
      <c r="BV19" s="16" t="s">
        <v>15</v>
      </c>
      <c r="BW19" s="67" t="s">
        <v>16</v>
      </c>
      <c r="BX19" s="22">
        <f t="shared" si="4"/>
        <v>0.8571428571</v>
      </c>
    </row>
    <row r="20">
      <c r="A20" s="24">
        <v>16.0</v>
      </c>
      <c r="B20" s="62"/>
      <c r="C20" s="58"/>
      <c r="D20" s="43" t="s">
        <v>15</v>
      </c>
      <c r="E20" s="16" t="s">
        <v>15</v>
      </c>
      <c r="F20" s="16" t="s">
        <v>15</v>
      </c>
      <c r="G20" s="16" t="s">
        <v>15</v>
      </c>
      <c r="H20" s="16" t="s">
        <v>15</v>
      </c>
      <c r="I20" s="16" t="s">
        <v>16</v>
      </c>
      <c r="J20" s="16" t="s">
        <v>15</v>
      </c>
      <c r="K20" s="16" t="s">
        <v>15</v>
      </c>
      <c r="L20" s="16" t="s">
        <v>15</v>
      </c>
      <c r="M20" s="43" t="s">
        <v>15</v>
      </c>
      <c r="N20" s="16" t="s">
        <v>15</v>
      </c>
      <c r="O20" s="16" t="s">
        <v>15</v>
      </c>
      <c r="P20" s="16" t="s">
        <v>15</v>
      </c>
      <c r="Q20" s="16" t="s">
        <v>15</v>
      </c>
      <c r="R20" s="16" t="s">
        <v>15</v>
      </c>
      <c r="S20" s="16" t="s">
        <v>15</v>
      </c>
      <c r="T20" s="16" t="s">
        <v>15</v>
      </c>
      <c r="U20" s="16" t="s">
        <v>15</v>
      </c>
      <c r="V20" s="16" t="s">
        <v>15</v>
      </c>
      <c r="W20" s="16" t="s">
        <v>15</v>
      </c>
      <c r="X20" s="22">
        <f t="shared" si="1"/>
        <v>0.95</v>
      </c>
      <c r="Y20" s="16" t="s">
        <v>16</v>
      </c>
      <c r="Z20" s="16" t="s">
        <v>16</v>
      </c>
      <c r="AA20" s="16" t="s">
        <v>16</v>
      </c>
      <c r="AB20" s="16" t="s">
        <v>15</v>
      </c>
      <c r="AC20" s="16" t="s">
        <v>15</v>
      </c>
      <c r="AD20" s="16" t="s">
        <v>15</v>
      </c>
      <c r="AE20" s="16" t="s">
        <v>15</v>
      </c>
      <c r="AF20" s="16" t="s">
        <v>15</v>
      </c>
      <c r="AG20" s="16" t="s">
        <v>15</v>
      </c>
      <c r="AH20" s="16" t="s">
        <v>15</v>
      </c>
      <c r="AI20" s="16" t="s">
        <v>15</v>
      </c>
      <c r="AJ20" s="16" t="s">
        <v>15</v>
      </c>
      <c r="AK20" s="16" t="s">
        <v>15</v>
      </c>
      <c r="AL20" s="16" t="s">
        <v>15</v>
      </c>
      <c r="AM20" s="143" t="s">
        <v>15</v>
      </c>
      <c r="AN20" s="16" t="s">
        <v>16</v>
      </c>
      <c r="AO20" s="143" t="s">
        <v>15</v>
      </c>
      <c r="AP20" s="16" t="s">
        <v>16</v>
      </c>
      <c r="AQ20" s="16" t="s">
        <v>15</v>
      </c>
      <c r="AR20" s="16" t="s">
        <v>15</v>
      </c>
      <c r="AS20" s="22">
        <f t="shared" si="2"/>
        <v>0.75</v>
      </c>
      <c r="AT20" s="16" t="s">
        <v>15</v>
      </c>
      <c r="AU20" s="16" t="s">
        <v>15</v>
      </c>
      <c r="AV20" s="16" t="s">
        <v>15</v>
      </c>
      <c r="AW20" s="71" t="s">
        <v>15</v>
      </c>
      <c r="AX20" s="16"/>
      <c r="AY20" s="16"/>
      <c r="AZ20" s="83" t="s">
        <v>15</v>
      </c>
      <c r="BA20" s="22">
        <f t="shared" si="3"/>
        <v>1</v>
      </c>
      <c r="BB20" s="162" t="s">
        <v>15</v>
      </c>
      <c r="BC20" s="163" t="s">
        <v>15</v>
      </c>
      <c r="BD20" s="16"/>
      <c r="BE20" s="16"/>
      <c r="BF20" s="16"/>
      <c r="BG20" s="85" t="s">
        <v>16</v>
      </c>
      <c r="BH20" s="71" t="s">
        <v>15</v>
      </c>
      <c r="BI20" s="16"/>
      <c r="BJ20" s="21"/>
      <c r="BK20" s="65" t="s">
        <v>15</v>
      </c>
      <c r="BL20" s="65" t="s">
        <v>15</v>
      </c>
      <c r="BM20" s="16" t="s">
        <v>15</v>
      </c>
      <c r="BN20" s="21"/>
      <c r="BO20" s="16" t="s">
        <v>15</v>
      </c>
      <c r="BP20" s="65" t="s">
        <v>15</v>
      </c>
      <c r="BQ20" s="21"/>
      <c r="BR20" s="65" t="s">
        <v>15</v>
      </c>
      <c r="BS20" s="164" t="s">
        <v>15</v>
      </c>
      <c r="BT20" s="21"/>
      <c r="BU20" s="16" t="s">
        <v>15</v>
      </c>
      <c r="BV20" s="16" t="s">
        <v>15</v>
      </c>
      <c r="BW20" s="54" t="s">
        <v>15</v>
      </c>
      <c r="BX20" s="22">
        <f t="shared" si="4"/>
        <v>0.9285714286</v>
      </c>
    </row>
    <row r="21">
      <c r="A21" s="24">
        <v>17.0</v>
      </c>
      <c r="B21" s="62"/>
      <c r="C21" s="58"/>
      <c r="D21" s="159" t="s">
        <v>16</v>
      </c>
      <c r="E21" s="16" t="s">
        <v>15</v>
      </c>
      <c r="F21" s="16" t="s">
        <v>15</v>
      </c>
      <c r="G21" s="16" t="s">
        <v>15</v>
      </c>
      <c r="H21" s="16" t="s">
        <v>15</v>
      </c>
      <c r="I21" s="16" t="s">
        <v>15</v>
      </c>
      <c r="J21" s="16" t="s">
        <v>15</v>
      </c>
      <c r="K21" s="16" t="s">
        <v>15</v>
      </c>
      <c r="L21" s="16" t="s">
        <v>16</v>
      </c>
      <c r="M21" s="43" t="s">
        <v>15</v>
      </c>
      <c r="N21" s="16" t="s">
        <v>15</v>
      </c>
      <c r="O21" s="16" t="s">
        <v>16</v>
      </c>
      <c r="P21" s="16" t="s">
        <v>15</v>
      </c>
      <c r="Q21" s="16" t="s">
        <v>15</v>
      </c>
      <c r="R21" s="16" t="s">
        <v>16</v>
      </c>
      <c r="S21" s="16" t="s">
        <v>15</v>
      </c>
      <c r="T21" s="16" t="s">
        <v>15</v>
      </c>
      <c r="U21" s="16" t="s">
        <v>15</v>
      </c>
      <c r="V21" s="16" t="s">
        <v>15</v>
      </c>
      <c r="W21" s="16" t="s">
        <v>16</v>
      </c>
      <c r="X21" s="22">
        <f t="shared" si="1"/>
        <v>0.75</v>
      </c>
      <c r="Y21" s="16" t="s">
        <v>15</v>
      </c>
      <c r="Z21" s="16" t="s">
        <v>16</v>
      </c>
      <c r="AA21" s="16" t="s">
        <v>15</v>
      </c>
      <c r="AB21" s="16" t="s">
        <v>16</v>
      </c>
      <c r="AC21" s="16" t="s">
        <v>15</v>
      </c>
      <c r="AD21" s="16" t="s">
        <v>15</v>
      </c>
      <c r="AE21" s="16" t="s">
        <v>15</v>
      </c>
      <c r="AF21" s="16" t="s">
        <v>15</v>
      </c>
      <c r="AG21" s="16" t="s">
        <v>16</v>
      </c>
      <c r="AH21" s="16" t="s">
        <v>15</v>
      </c>
      <c r="AI21" s="16" t="s">
        <v>15</v>
      </c>
      <c r="AJ21" s="16" t="s">
        <v>15</v>
      </c>
      <c r="AK21" s="16" t="s">
        <v>16</v>
      </c>
      <c r="AL21" s="16" t="s">
        <v>16</v>
      </c>
      <c r="AM21" s="143" t="s">
        <v>15</v>
      </c>
      <c r="AN21" s="143" t="s">
        <v>15</v>
      </c>
      <c r="AO21" s="16" t="s">
        <v>16</v>
      </c>
      <c r="AP21" s="143" t="s">
        <v>15</v>
      </c>
      <c r="AQ21" s="16" t="s">
        <v>16</v>
      </c>
      <c r="AR21" s="16" t="s">
        <v>15</v>
      </c>
      <c r="AS21" s="22">
        <f t="shared" si="2"/>
        <v>0.65</v>
      </c>
      <c r="AT21" s="16" t="s">
        <v>16</v>
      </c>
      <c r="AU21" s="16" t="s">
        <v>15</v>
      </c>
      <c r="AV21" s="16" t="s">
        <v>16</v>
      </c>
      <c r="AW21" s="85" t="s">
        <v>16</v>
      </c>
      <c r="AX21" s="16"/>
      <c r="AY21" s="16"/>
      <c r="AZ21" s="83" t="s">
        <v>15</v>
      </c>
      <c r="BA21" s="22">
        <f t="shared" si="3"/>
        <v>0.4</v>
      </c>
      <c r="BB21" s="179" t="s">
        <v>16</v>
      </c>
      <c r="BC21" s="163" t="s">
        <v>15</v>
      </c>
      <c r="BD21" s="16"/>
      <c r="BE21" s="16"/>
      <c r="BF21" s="16"/>
      <c r="BG21" s="71" t="s">
        <v>15</v>
      </c>
      <c r="BH21" s="85" t="s">
        <v>16</v>
      </c>
      <c r="BI21" s="16"/>
      <c r="BJ21" s="21"/>
      <c r="BK21" s="65" t="s">
        <v>15</v>
      </c>
      <c r="BL21" s="65" t="s">
        <v>15</v>
      </c>
      <c r="BM21" s="16" t="s">
        <v>16</v>
      </c>
      <c r="BN21" s="21"/>
      <c r="BO21" s="16" t="s">
        <v>15</v>
      </c>
      <c r="BP21" s="65" t="s">
        <v>15</v>
      </c>
      <c r="BQ21" s="21"/>
      <c r="BR21" s="65" t="s">
        <v>15</v>
      </c>
      <c r="BS21" s="164" t="s">
        <v>15</v>
      </c>
      <c r="BT21" s="21"/>
      <c r="BU21" s="16" t="s">
        <v>16</v>
      </c>
      <c r="BV21" s="16" t="s">
        <v>15</v>
      </c>
      <c r="BW21" s="54" t="s">
        <v>15</v>
      </c>
      <c r="BX21" s="22">
        <f t="shared" si="4"/>
        <v>0.7142857143</v>
      </c>
    </row>
    <row r="22">
      <c r="A22" s="24">
        <v>18.0</v>
      </c>
      <c r="B22" s="57"/>
      <c r="C22" s="58"/>
      <c r="D22" s="43" t="s">
        <v>15</v>
      </c>
      <c r="E22" s="16" t="s">
        <v>15</v>
      </c>
      <c r="F22" s="16" t="s">
        <v>16</v>
      </c>
      <c r="G22" s="16" t="s">
        <v>15</v>
      </c>
      <c r="H22" s="16" t="s">
        <v>15</v>
      </c>
      <c r="I22" s="16" t="s">
        <v>16</v>
      </c>
      <c r="J22" s="16" t="s">
        <v>15</v>
      </c>
      <c r="K22" s="16" t="s">
        <v>16</v>
      </c>
      <c r="L22" s="16" t="s">
        <v>16</v>
      </c>
      <c r="M22" s="43" t="s">
        <v>15</v>
      </c>
      <c r="N22" s="16" t="s">
        <v>15</v>
      </c>
      <c r="O22" s="16" t="s">
        <v>15</v>
      </c>
      <c r="P22" s="16" t="s">
        <v>15</v>
      </c>
      <c r="Q22" s="16" t="s">
        <v>15</v>
      </c>
      <c r="R22" s="16" t="s">
        <v>15</v>
      </c>
      <c r="S22" s="16" t="s">
        <v>15</v>
      </c>
      <c r="T22" s="16" t="s">
        <v>15</v>
      </c>
      <c r="U22" s="16" t="s">
        <v>15</v>
      </c>
      <c r="V22" s="16" t="s">
        <v>15</v>
      </c>
      <c r="W22" s="16" t="s">
        <v>15</v>
      </c>
      <c r="X22" s="22">
        <f t="shared" si="1"/>
        <v>0.8</v>
      </c>
      <c r="Y22" s="16" t="s">
        <v>15</v>
      </c>
      <c r="Z22" s="16" t="s">
        <v>15</v>
      </c>
      <c r="AA22" s="16" t="s">
        <v>15</v>
      </c>
      <c r="AB22" s="16" t="s">
        <v>16</v>
      </c>
      <c r="AC22" s="16" t="s">
        <v>15</v>
      </c>
      <c r="AD22" s="16" t="s">
        <v>15</v>
      </c>
      <c r="AE22" s="16" t="s">
        <v>15</v>
      </c>
      <c r="AF22" s="16" t="s">
        <v>15</v>
      </c>
      <c r="AG22" s="16" t="s">
        <v>16</v>
      </c>
      <c r="AH22" s="16" t="s">
        <v>15</v>
      </c>
      <c r="AI22" s="16" t="s">
        <v>15</v>
      </c>
      <c r="AJ22" s="16" t="s">
        <v>16</v>
      </c>
      <c r="AK22" s="16" t="s">
        <v>15</v>
      </c>
      <c r="AL22" s="16" t="s">
        <v>15</v>
      </c>
      <c r="AM22" s="143" t="s">
        <v>15</v>
      </c>
      <c r="AN22" s="16" t="s">
        <v>16</v>
      </c>
      <c r="AO22" s="143" t="s">
        <v>15</v>
      </c>
      <c r="AP22" s="143" t="s">
        <v>15</v>
      </c>
      <c r="AQ22" s="16" t="s">
        <v>15</v>
      </c>
      <c r="AR22" s="16" t="s">
        <v>16</v>
      </c>
      <c r="AS22" s="22">
        <f t="shared" si="2"/>
        <v>0.75</v>
      </c>
      <c r="AT22" s="16" t="s">
        <v>16</v>
      </c>
      <c r="AU22" s="16" t="s">
        <v>16</v>
      </c>
      <c r="AV22" s="16" t="s">
        <v>15</v>
      </c>
      <c r="AW22" s="71" t="s">
        <v>15</v>
      </c>
      <c r="AX22" s="16"/>
      <c r="AY22" s="16"/>
      <c r="AZ22" s="83" t="s">
        <v>15</v>
      </c>
      <c r="BA22" s="22">
        <f t="shared" si="3"/>
        <v>0.6</v>
      </c>
      <c r="BB22" s="162" t="s">
        <v>15</v>
      </c>
      <c r="BC22" s="163" t="s">
        <v>15</v>
      </c>
      <c r="BD22" s="16"/>
      <c r="BE22" s="16"/>
      <c r="BF22" s="16"/>
      <c r="BG22" s="71" t="s">
        <v>15</v>
      </c>
      <c r="BH22" s="71" t="s">
        <v>15</v>
      </c>
      <c r="BI22" s="16"/>
      <c r="BJ22" s="21"/>
      <c r="BK22" s="65" t="s">
        <v>15</v>
      </c>
      <c r="BL22" s="65" t="s">
        <v>15</v>
      </c>
      <c r="BM22" s="16" t="s">
        <v>15</v>
      </c>
      <c r="BN22" s="21"/>
      <c r="BO22" s="16" t="s">
        <v>15</v>
      </c>
      <c r="BP22" s="65" t="s">
        <v>15</v>
      </c>
      <c r="BQ22" s="21"/>
      <c r="BR22" s="51" t="s">
        <v>16</v>
      </c>
      <c r="BS22" s="164" t="s">
        <v>15</v>
      </c>
      <c r="BT22" s="21"/>
      <c r="BU22" s="16" t="s">
        <v>15</v>
      </c>
      <c r="BV22" s="16" t="s">
        <v>15</v>
      </c>
      <c r="BW22" s="54" t="s">
        <v>15</v>
      </c>
      <c r="BX22" s="22">
        <f t="shared" si="4"/>
        <v>0.9285714286</v>
      </c>
    </row>
    <row r="23">
      <c r="A23" s="24">
        <v>19.0</v>
      </c>
      <c r="B23" s="46"/>
      <c r="C23" s="58"/>
      <c r="D23" s="43" t="s">
        <v>15</v>
      </c>
      <c r="E23" s="16" t="s">
        <v>15</v>
      </c>
      <c r="F23" s="16" t="s">
        <v>15</v>
      </c>
      <c r="G23" s="16" t="s">
        <v>15</v>
      </c>
      <c r="H23" s="16" t="s">
        <v>15</v>
      </c>
      <c r="I23" s="16" t="s">
        <v>16</v>
      </c>
      <c r="J23" s="16" t="s">
        <v>15</v>
      </c>
      <c r="K23" s="16" t="s">
        <v>15</v>
      </c>
      <c r="L23" s="16" t="s">
        <v>15</v>
      </c>
      <c r="M23" s="43" t="s">
        <v>15</v>
      </c>
      <c r="N23" s="16" t="s">
        <v>15</v>
      </c>
      <c r="O23" s="16" t="s">
        <v>15</v>
      </c>
      <c r="P23" s="16" t="s">
        <v>15</v>
      </c>
      <c r="Q23" s="16" t="s">
        <v>15</v>
      </c>
      <c r="R23" s="16" t="s">
        <v>15</v>
      </c>
      <c r="S23" s="16" t="s">
        <v>15</v>
      </c>
      <c r="T23" s="16" t="s">
        <v>15</v>
      </c>
      <c r="U23" s="16" t="s">
        <v>15</v>
      </c>
      <c r="V23" s="16" t="s">
        <v>15</v>
      </c>
      <c r="W23" s="16" t="s">
        <v>15</v>
      </c>
      <c r="X23" s="22">
        <f t="shared" si="1"/>
        <v>0.95</v>
      </c>
      <c r="Y23" s="16" t="s">
        <v>15</v>
      </c>
      <c r="Z23" s="16" t="s">
        <v>15</v>
      </c>
      <c r="AA23" s="16" t="s">
        <v>15</v>
      </c>
      <c r="AB23" s="16" t="s">
        <v>16</v>
      </c>
      <c r="AC23" s="16" t="s">
        <v>16</v>
      </c>
      <c r="AD23" s="16" t="s">
        <v>16</v>
      </c>
      <c r="AE23" s="16" t="s">
        <v>16</v>
      </c>
      <c r="AF23" s="16" t="s">
        <v>16</v>
      </c>
      <c r="AG23" s="16" t="s">
        <v>15</v>
      </c>
      <c r="AH23" s="16" t="s">
        <v>15</v>
      </c>
      <c r="AI23" s="16" t="s">
        <v>15</v>
      </c>
      <c r="AJ23" s="16" t="s">
        <v>15</v>
      </c>
      <c r="AK23" s="16" t="s">
        <v>16</v>
      </c>
      <c r="AL23" s="16" t="s">
        <v>15</v>
      </c>
      <c r="AM23" s="143" t="s">
        <v>15</v>
      </c>
      <c r="AN23" s="143" t="s">
        <v>15</v>
      </c>
      <c r="AO23" s="143" t="s">
        <v>15</v>
      </c>
      <c r="AP23" s="143" t="s">
        <v>15</v>
      </c>
      <c r="AQ23" s="16" t="s">
        <v>15</v>
      </c>
      <c r="AR23" s="16" t="s">
        <v>15</v>
      </c>
      <c r="AS23" s="22">
        <f t="shared" si="2"/>
        <v>0.7</v>
      </c>
      <c r="AT23" s="16" t="s">
        <v>15</v>
      </c>
      <c r="AU23" s="16" t="s">
        <v>16</v>
      </c>
      <c r="AV23" s="16" t="s">
        <v>15</v>
      </c>
      <c r="AW23" s="71" t="s">
        <v>15</v>
      </c>
      <c r="AX23" s="16"/>
      <c r="AY23" s="16"/>
      <c r="AZ23" s="83" t="s">
        <v>15</v>
      </c>
      <c r="BA23" s="22">
        <f t="shared" si="3"/>
        <v>0.8</v>
      </c>
      <c r="BB23" s="162" t="s">
        <v>15</v>
      </c>
      <c r="BC23" s="163" t="s">
        <v>15</v>
      </c>
      <c r="BD23" s="16"/>
      <c r="BE23" s="16"/>
      <c r="BF23" s="16"/>
      <c r="BG23" s="71" t="s">
        <v>15</v>
      </c>
      <c r="BH23" s="71" t="s">
        <v>15</v>
      </c>
      <c r="BI23" s="16"/>
      <c r="BJ23" s="21"/>
      <c r="BK23" s="65" t="s">
        <v>15</v>
      </c>
      <c r="BL23" s="51" t="s">
        <v>16</v>
      </c>
      <c r="BM23" s="16" t="s">
        <v>15</v>
      </c>
      <c r="BN23" s="21"/>
      <c r="BO23" s="16" t="s">
        <v>15</v>
      </c>
      <c r="BP23" s="65" t="s">
        <v>15</v>
      </c>
      <c r="BQ23" s="21"/>
      <c r="BR23" s="65" t="s">
        <v>15</v>
      </c>
      <c r="BS23" s="164" t="s">
        <v>15</v>
      </c>
      <c r="BT23" s="21"/>
      <c r="BU23" s="16" t="s">
        <v>15</v>
      </c>
      <c r="BV23" s="16" t="s">
        <v>15</v>
      </c>
      <c r="BW23" s="54" t="s">
        <v>15</v>
      </c>
      <c r="BX23" s="22">
        <f t="shared" si="4"/>
        <v>0.9285714286</v>
      </c>
    </row>
    <row r="24">
      <c r="A24" s="24">
        <v>20.0</v>
      </c>
      <c r="B24" s="57"/>
      <c r="C24" s="58"/>
      <c r="D24" s="159" t="s">
        <v>16</v>
      </c>
      <c r="E24" s="16" t="s">
        <v>15</v>
      </c>
      <c r="F24" s="16" t="s">
        <v>15</v>
      </c>
      <c r="G24" s="16" t="s">
        <v>15</v>
      </c>
      <c r="H24" s="16" t="s">
        <v>15</v>
      </c>
      <c r="I24" s="16" t="s">
        <v>15</v>
      </c>
      <c r="J24" s="16" t="s">
        <v>15</v>
      </c>
      <c r="K24" s="16" t="s">
        <v>15</v>
      </c>
      <c r="L24" s="16" t="s">
        <v>15</v>
      </c>
      <c r="M24" s="43" t="s">
        <v>15</v>
      </c>
      <c r="N24" s="16" t="s">
        <v>15</v>
      </c>
      <c r="O24" s="16" t="s">
        <v>16</v>
      </c>
      <c r="P24" s="16" t="s">
        <v>15</v>
      </c>
      <c r="Q24" s="16" t="s">
        <v>16</v>
      </c>
      <c r="R24" s="16" t="s">
        <v>16</v>
      </c>
      <c r="S24" s="16" t="s">
        <v>15</v>
      </c>
      <c r="T24" s="16" t="s">
        <v>15</v>
      </c>
      <c r="U24" s="16" t="s">
        <v>15</v>
      </c>
      <c r="V24" s="16" t="s">
        <v>15</v>
      </c>
      <c r="W24" s="16" t="s">
        <v>15</v>
      </c>
      <c r="X24" s="22">
        <f t="shared" si="1"/>
        <v>0.8</v>
      </c>
      <c r="Y24" s="16" t="s">
        <v>16</v>
      </c>
      <c r="Z24" s="16" t="s">
        <v>15</v>
      </c>
      <c r="AA24" s="16" t="s">
        <v>15</v>
      </c>
      <c r="AB24" s="16" t="s">
        <v>15</v>
      </c>
      <c r="AC24" s="16" t="s">
        <v>15</v>
      </c>
      <c r="AD24" s="16" t="s">
        <v>15</v>
      </c>
      <c r="AE24" s="16" t="s">
        <v>16</v>
      </c>
      <c r="AF24" s="16" t="s">
        <v>15</v>
      </c>
      <c r="AG24" s="16" t="s">
        <v>16</v>
      </c>
      <c r="AH24" s="16" t="s">
        <v>16</v>
      </c>
      <c r="AI24" s="16" t="s">
        <v>15</v>
      </c>
      <c r="AJ24" s="16" t="s">
        <v>16</v>
      </c>
      <c r="AK24" s="16" t="s">
        <v>15</v>
      </c>
      <c r="AL24" s="16" t="s">
        <v>15</v>
      </c>
      <c r="AM24" s="143" t="s">
        <v>15</v>
      </c>
      <c r="AN24" s="16" t="s">
        <v>16</v>
      </c>
      <c r="AO24" s="143" t="s">
        <v>15</v>
      </c>
      <c r="AP24" s="143" t="s">
        <v>15</v>
      </c>
      <c r="AQ24" s="16" t="s">
        <v>15</v>
      </c>
      <c r="AR24" s="16" t="s">
        <v>16</v>
      </c>
      <c r="AS24" s="22">
        <f t="shared" si="2"/>
        <v>0.65</v>
      </c>
      <c r="AT24" s="16" t="s">
        <v>15</v>
      </c>
      <c r="AU24" s="16" t="s">
        <v>16</v>
      </c>
      <c r="AV24" s="16" t="s">
        <v>15</v>
      </c>
      <c r="AW24" s="71" t="s">
        <v>15</v>
      </c>
      <c r="AX24" s="16"/>
      <c r="AY24" s="16"/>
      <c r="AZ24" s="83" t="s">
        <v>15</v>
      </c>
      <c r="BA24" s="22">
        <f t="shared" si="3"/>
        <v>0.8</v>
      </c>
      <c r="BB24" s="162" t="s">
        <v>15</v>
      </c>
      <c r="BC24" s="163" t="s">
        <v>15</v>
      </c>
      <c r="BD24" s="16"/>
      <c r="BE24" s="16"/>
      <c r="BF24" s="16"/>
      <c r="BG24" s="85" t="s">
        <v>16</v>
      </c>
      <c r="BH24" s="85" t="s">
        <v>16</v>
      </c>
      <c r="BI24" s="16"/>
      <c r="BJ24" s="21"/>
      <c r="BK24" s="65" t="s">
        <v>15</v>
      </c>
      <c r="BL24" s="65" t="s">
        <v>15</v>
      </c>
      <c r="BM24" s="16" t="s">
        <v>15</v>
      </c>
      <c r="BN24" s="21"/>
      <c r="BO24" s="16" t="s">
        <v>15</v>
      </c>
      <c r="BP24" s="65" t="s">
        <v>15</v>
      </c>
      <c r="BQ24" s="21"/>
      <c r="BR24" s="51" t="s">
        <v>16</v>
      </c>
      <c r="BS24" s="164" t="s">
        <v>15</v>
      </c>
      <c r="BT24" s="21"/>
      <c r="BU24" s="16" t="s">
        <v>15</v>
      </c>
      <c r="BV24" s="16" t="s">
        <v>16</v>
      </c>
      <c r="BW24" s="67" t="s">
        <v>16</v>
      </c>
      <c r="BX24" s="22">
        <f t="shared" si="4"/>
        <v>0.6428571429</v>
      </c>
    </row>
    <row r="25">
      <c r="A25" s="24">
        <v>21.0</v>
      </c>
      <c r="B25" s="81"/>
      <c r="C25" s="113"/>
      <c r="D25" s="43" t="s">
        <v>15</v>
      </c>
      <c r="E25" s="16" t="s">
        <v>15</v>
      </c>
      <c r="F25" s="16" t="s">
        <v>15</v>
      </c>
      <c r="G25" s="16" t="s">
        <v>15</v>
      </c>
      <c r="H25" s="16" t="s">
        <v>16</v>
      </c>
      <c r="I25" s="16" t="s">
        <v>15</v>
      </c>
      <c r="J25" s="16" t="s">
        <v>15</v>
      </c>
      <c r="K25" s="16" t="s">
        <v>15</v>
      </c>
      <c r="L25" s="16" t="s">
        <v>15</v>
      </c>
      <c r="M25" s="43" t="s">
        <v>15</v>
      </c>
      <c r="N25" s="16" t="s">
        <v>15</v>
      </c>
      <c r="O25" s="16" t="s">
        <v>15</v>
      </c>
      <c r="P25" s="16" t="s">
        <v>15</v>
      </c>
      <c r="Q25" s="17" t="s">
        <v>15</v>
      </c>
      <c r="R25" s="17" t="s">
        <v>15</v>
      </c>
      <c r="S25" s="17" t="s">
        <v>15</v>
      </c>
      <c r="T25" s="16" t="s">
        <v>15</v>
      </c>
      <c r="U25" s="17" t="s">
        <v>15</v>
      </c>
      <c r="V25" s="17" t="s">
        <v>15</v>
      </c>
      <c r="W25" s="17" t="s">
        <v>15</v>
      </c>
      <c r="X25" s="22">
        <f t="shared" si="1"/>
        <v>0.95</v>
      </c>
      <c r="Y25" s="16" t="s">
        <v>15</v>
      </c>
      <c r="Z25" s="16" t="s">
        <v>15</v>
      </c>
      <c r="AA25" s="16" t="s">
        <v>16</v>
      </c>
      <c r="AB25" s="16" t="s">
        <v>15</v>
      </c>
      <c r="AC25" s="16" t="s">
        <v>15</v>
      </c>
      <c r="AD25" s="16" t="s">
        <v>15</v>
      </c>
      <c r="AE25" s="16" t="s">
        <v>15</v>
      </c>
      <c r="AF25" s="16" t="s">
        <v>15</v>
      </c>
      <c r="AG25" s="16" t="s">
        <v>16</v>
      </c>
      <c r="AH25" s="16" t="s">
        <v>15</v>
      </c>
      <c r="AI25" s="16" t="s">
        <v>15</v>
      </c>
      <c r="AJ25" s="16" t="s">
        <v>15</v>
      </c>
      <c r="AK25" s="16" t="s">
        <v>15</v>
      </c>
      <c r="AL25" s="16" t="s">
        <v>15</v>
      </c>
      <c r="AM25" s="143" t="s">
        <v>15</v>
      </c>
      <c r="AN25" s="16" t="s">
        <v>16</v>
      </c>
      <c r="AO25" s="143" t="s">
        <v>15</v>
      </c>
      <c r="AP25" s="143" t="s">
        <v>15</v>
      </c>
      <c r="AQ25" s="16" t="s">
        <v>15</v>
      </c>
      <c r="AR25" s="16" t="s">
        <v>15</v>
      </c>
      <c r="AS25" s="22">
        <f t="shared" si="2"/>
        <v>0.85</v>
      </c>
      <c r="AT25" s="16" t="s">
        <v>15</v>
      </c>
      <c r="AU25" s="16" t="s">
        <v>16</v>
      </c>
      <c r="AV25" s="16" t="s">
        <v>15</v>
      </c>
      <c r="AW25" s="71" t="s">
        <v>15</v>
      </c>
      <c r="AX25" s="16"/>
      <c r="AY25" s="16"/>
      <c r="AZ25" s="83" t="s">
        <v>15</v>
      </c>
      <c r="BA25" s="22">
        <f t="shared" si="3"/>
        <v>0.8</v>
      </c>
      <c r="BB25" s="162" t="s">
        <v>15</v>
      </c>
      <c r="BC25" s="163" t="s">
        <v>15</v>
      </c>
      <c r="BD25" s="16"/>
      <c r="BE25" s="16"/>
      <c r="BF25" s="16"/>
      <c r="BG25" s="71" t="s">
        <v>15</v>
      </c>
      <c r="BH25" s="71" t="s">
        <v>15</v>
      </c>
      <c r="BI25" s="16"/>
      <c r="BJ25" s="21"/>
      <c r="BK25" s="65" t="s">
        <v>15</v>
      </c>
      <c r="BL25" s="65" t="s">
        <v>15</v>
      </c>
      <c r="BM25" s="16" t="s">
        <v>15</v>
      </c>
      <c r="BN25" s="21"/>
      <c r="BO25" s="16" t="s">
        <v>15</v>
      </c>
      <c r="BP25" s="65" t="s">
        <v>15</v>
      </c>
      <c r="BQ25" s="21"/>
      <c r="BR25" s="65" t="s">
        <v>15</v>
      </c>
      <c r="BS25" s="164" t="s">
        <v>15</v>
      </c>
      <c r="BT25" s="21"/>
      <c r="BU25" s="16" t="s">
        <v>15</v>
      </c>
      <c r="BV25" s="16" t="s">
        <v>15</v>
      </c>
      <c r="BW25" s="67" t="s">
        <v>16</v>
      </c>
      <c r="BX25" s="22">
        <f t="shared" si="4"/>
        <v>0.9285714286</v>
      </c>
    </row>
    <row r="26">
      <c r="A26" s="24">
        <v>22.0</v>
      </c>
      <c r="B26" s="25"/>
      <c r="C26" s="63"/>
      <c r="D26" s="43" t="s">
        <v>15</v>
      </c>
      <c r="E26" s="16" t="s">
        <v>15</v>
      </c>
      <c r="F26" s="16" t="s">
        <v>15</v>
      </c>
      <c r="G26" s="16" t="s">
        <v>15</v>
      </c>
      <c r="H26" s="16" t="s">
        <v>16</v>
      </c>
      <c r="I26" s="16" t="s">
        <v>15</v>
      </c>
      <c r="J26" s="16" t="s">
        <v>15</v>
      </c>
      <c r="K26" s="16" t="s">
        <v>15</v>
      </c>
      <c r="L26" s="16" t="s">
        <v>15</v>
      </c>
      <c r="M26" s="159" t="s">
        <v>16</v>
      </c>
      <c r="N26" s="16" t="s">
        <v>15</v>
      </c>
      <c r="O26" s="16" t="s">
        <v>15</v>
      </c>
      <c r="P26" s="16" t="s">
        <v>15</v>
      </c>
      <c r="Q26" s="17" t="s">
        <v>15</v>
      </c>
      <c r="R26" s="17" t="s">
        <v>15</v>
      </c>
      <c r="S26" s="17" t="s">
        <v>16</v>
      </c>
      <c r="T26" s="16" t="s">
        <v>15</v>
      </c>
      <c r="U26" s="17" t="s">
        <v>16</v>
      </c>
      <c r="V26" s="17" t="s">
        <v>16</v>
      </c>
      <c r="W26" s="17" t="s">
        <v>15</v>
      </c>
      <c r="X26" s="22">
        <f t="shared" si="1"/>
        <v>0.75</v>
      </c>
      <c r="Y26" s="16" t="s">
        <v>15</v>
      </c>
      <c r="Z26" s="16" t="s">
        <v>15</v>
      </c>
      <c r="AA26" s="16" t="s">
        <v>16</v>
      </c>
      <c r="AB26" s="16" t="s">
        <v>15</v>
      </c>
      <c r="AC26" s="16" t="s">
        <v>15</v>
      </c>
      <c r="AD26" s="16" t="s">
        <v>15</v>
      </c>
      <c r="AE26" s="16" t="s">
        <v>16</v>
      </c>
      <c r="AF26" s="16" t="s">
        <v>15</v>
      </c>
      <c r="AG26" s="16" t="s">
        <v>16</v>
      </c>
      <c r="AH26" s="16" t="s">
        <v>15</v>
      </c>
      <c r="AI26" s="16" t="s">
        <v>15</v>
      </c>
      <c r="AJ26" s="16" t="s">
        <v>15</v>
      </c>
      <c r="AK26" s="16" t="s">
        <v>16</v>
      </c>
      <c r="AL26" s="16" t="s">
        <v>16</v>
      </c>
      <c r="AM26" s="16" t="s">
        <v>16</v>
      </c>
      <c r="AN26" s="16" t="s">
        <v>16</v>
      </c>
      <c r="AO26" s="16" t="s">
        <v>16</v>
      </c>
      <c r="AP26" s="143" t="s">
        <v>15</v>
      </c>
      <c r="AQ26" s="16" t="s">
        <v>16</v>
      </c>
      <c r="AR26" s="16" t="s">
        <v>15</v>
      </c>
      <c r="AS26" s="22">
        <f t="shared" si="2"/>
        <v>0.55</v>
      </c>
      <c r="AT26" s="16" t="s">
        <v>16</v>
      </c>
      <c r="AU26" s="16" t="s">
        <v>16</v>
      </c>
      <c r="AV26" s="16" t="s">
        <v>16</v>
      </c>
      <c r="AW26" s="85" t="s">
        <v>16</v>
      </c>
      <c r="AX26" s="16"/>
      <c r="AY26" s="16"/>
      <c r="AZ26" s="83" t="s">
        <v>15</v>
      </c>
      <c r="BA26" s="22">
        <f t="shared" si="3"/>
        <v>0.2</v>
      </c>
      <c r="BB26" s="179" t="s">
        <v>16</v>
      </c>
      <c r="BC26" s="172" t="s">
        <v>16</v>
      </c>
      <c r="BD26" s="16"/>
      <c r="BE26" s="16"/>
      <c r="BF26" s="16"/>
      <c r="BG26" s="85" t="s">
        <v>16</v>
      </c>
      <c r="BH26" s="85" t="s">
        <v>16</v>
      </c>
      <c r="BI26" s="16"/>
      <c r="BJ26" s="21"/>
      <c r="BK26" s="65" t="s">
        <v>15</v>
      </c>
      <c r="BL26" s="51" t="s">
        <v>16</v>
      </c>
      <c r="BM26" s="16" t="s">
        <v>15</v>
      </c>
      <c r="BN26" s="21"/>
      <c r="BO26" s="51" t="s">
        <v>16</v>
      </c>
      <c r="BP26" s="65" t="s">
        <v>15</v>
      </c>
      <c r="BQ26" s="21"/>
      <c r="BR26" s="51" t="s">
        <v>16</v>
      </c>
      <c r="BS26" s="164" t="s">
        <v>15</v>
      </c>
      <c r="BT26" s="21"/>
      <c r="BU26" s="16" t="s">
        <v>15</v>
      </c>
      <c r="BV26" s="16" t="s">
        <v>16</v>
      </c>
      <c r="BW26" s="67" t="s">
        <v>16</v>
      </c>
      <c r="BX26" s="22">
        <f t="shared" si="4"/>
        <v>0.3571428571</v>
      </c>
    </row>
    <row r="27">
      <c r="A27" s="24">
        <v>23.0</v>
      </c>
      <c r="B27" s="62"/>
      <c r="C27" s="113"/>
      <c r="D27" s="43" t="s">
        <v>15</v>
      </c>
      <c r="E27" s="16" t="s">
        <v>15</v>
      </c>
      <c r="F27" s="16" t="s">
        <v>15</v>
      </c>
      <c r="G27" s="16" t="s">
        <v>16</v>
      </c>
      <c r="H27" s="16" t="s">
        <v>15</v>
      </c>
      <c r="I27" s="16" t="s">
        <v>15</v>
      </c>
      <c r="J27" s="16" t="s">
        <v>15</v>
      </c>
      <c r="K27" s="16" t="s">
        <v>15</v>
      </c>
      <c r="L27" s="16" t="s">
        <v>15</v>
      </c>
      <c r="M27" s="159" t="s">
        <v>16</v>
      </c>
      <c r="N27" s="16" t="s">
        <v>16</v>
      </c>
      <c r="O27" s="16" t="s">
        <v>15</v>
      </c>
      <c r="P27" s="16" t="s">
        <v>15</v>
      </c>
      <c r="Q27" s="16" t="s">
        <v>15</v>
      </c>
      <c r="R27" s="16" t="s">
        <v>16</v>
      </c>
      <c r="S27" s="16" t="s">
        <v>16</v>
      </c>
      <c r="T27" s="16" t="s">
        <v>15</v>
      </c>
      <c r="U27" s="16" t="s">
        <v>15</v>
      </c>
      <c r="V27" s="16" t="s">
        <v>15</v>
      </c>
      <c r="W27" s="16" t="s">
        <v>15</v>
      </c>
      <c r="X27" s="22">
        <f t="shared" si="1"/>
        <v>0.75</v>
      </c>
      <c r="Y27" s="16" t="s">
        <v>15</v>
      </c>
      <c r="Z27" s="16" t="s">
        <v>15</v>
      </c>
      <c r="AA27" s="16" t="s">
        <v>15</v>
      </c>
      <c r="AB27" s="16" t="s">
        <v>15</v>
      </c>
      <c r="AC27" s="16" t="s">
        <v>15</v>
      </c>
      <c r="AD27" s="16" t="s">
        <v>16</v>
      </c>
      <c r="AE27" s="16" t="s">
        <v>15</v>
      </c>
      <c r="AF27" s="16" t="s">
        <v>15</v>
      </c>
      <c r="AG27" s="16" t="s">
        <v>16</v>
      </c>
      <c r="AH27" s="16" t="s">
        <v>15</v>
      </c>
      <c r="AI27" s="16" t="s">
        <v>15</v>
      </c>
      <c r="AJ27" s="16" t="s">
        <v>15</v>
      </c>
      <c r="AK27" s="16" t="s">
        <v>16</v>
      </c>
      <c r="AL27" s="16" t="s">
        <v>15</v>
      </c>
      <c r="AM27" s="143" t="s">
        <v>15</v>
      </c>
      <c r="AN27" s="16" t="s">
        <v>16</v>
      </c>
      <c r="AO27" s="143" t="s">
        <v>15</v>
      </c>
      <c r="AP27" s="143" t="s">
        <v>15</v>
      </c>
      <c r="AQ27" s="16" t="s">
        <v>16</v>
      </c>
      <c r="AR27" s="16" t="s">
        <v>15</v>
      </c>
      <c r="AS27" s="22">
        <f t="shared" si="2"/>
        <v>0.75</v>
      </c>
      <c r="AT27" s="16" t="s">
        <v>16</v>
      </c>
      <c r="AU27" s="16" t="s">
        <v>16</v>
      </c>
      <c r="AV27" s="16" t="s">
        <v>16</v>
      </c>
      <c r="AW27" s="71" t="s">
        <v>15</v>
      </c>
      <c r="AX27" s="16"/>
      <c r="AY27" s="16"/>
      <c r="AZ27" s="83" t="s">
        <v>15</v>
      </c>
      <c r="BA27" s="22">
        <f t="shared" si="3"/>
        <v>0.4</v>
      </c>
      <c r="BB27" s="179" t="s">
        <v>16</v>
      </c>
      <c r="BC27" s="163" t="s">
        <v>15</v>
      </c>
      <c r="BD27" s="16"/>
      <c r="BE27" s="16"/>
      <c r="BF27" s="16"/>
      <c r="BG27" s="85" t="s">
        <v>16</v>
      </c>
      <c r="BH27" s="71" t="s">
        <v>15</v>
      </c>
      <c r="BI27" s="16"/>
      <c r="BJ27" s="16"/>
      <c r="BK27" s="71" t="s">
        <v>15</v>
      </c>
      <c r="BL27" s="85" t="s">
        <v>16</v>
      </c>
      <c r="BM27" s="16" t="s">
        <v>15</v>
      </c>
      <c r="BN27" s="16"/>
      <c r="BO27" s="16" t="s">
        <v>15</v>
      </c>
      <c r="BP27" s="71" t="s">
        <v>15</v>
      </c>
      <c r="BQ27" s="16"/>
      <c r="BR27" s="71" t="s">
        <v>15</v>
      </c>
      <c r="BS27" s="163" t="s">
        <v>15</v>
      </c>
      <c r="BT27" s="16"/>
      <c r="BU27" s="16" t="s">
        <v>15</v>
      </c>
      <c r="BV27" s="16" t="s">
        <v>15</v>
      </c>
      <c r="BW27" s="83" t="s">
        <v>15</v>
      </c>
      <c r="BX27" s="22">
        <f t="shared" si="4"/>
        <v>0.7857142857</v>
      </c>
    </row>
    <row r="28">
      <c r="A28" s="24">
        <v>24.0</v>
      </c>
      <c r="B28" s="91"/>
      <c r="C28" s="63"/>
      <c r="D28" s="43" t="s">
        <v>15</v>
      </c>
      <c r="E28" s="16" t="s">
        <v>15</v>
      </c>
      <c r="F28" s="16" t="s">
        <v>15</v>
      </c>
      <c r="G28" s="16" t="s">
        <v>15</v>
      </c>
      <c r="H28" s="16" t="s">
        <v>15</v>
      </c>
      <c r="I28" s="16" t="s">
        <v>16</v>
      </c>
      <c r="J28" s="16" t="s">
        <v>15</v>
      </c>
      <c r="K28" s="16" t="s">
        <v>15</v>
      </c>
      <c r="L28" s="16" t="s">
        <v>15</v>
      </c>
      <c r="M28" s="43" t="s">
        <v>15</v>
      </c>
      <c r="N28" s="16" t="s">
        <v>15</v>
      </c>
      <c r="O28" s="16" t="s">
        <v>16</v>
      </c>
      <c r="P28" s="16" t="s">
        <v>15</v>
      </c>
      <c r="Q28" s="17" t="s">
        <v>15</v>
      </c>
      <c r="R28" s="17" t="s">
        <v>15</v>
      </c>
      <c r="S28" s="17" t="s">
        <v>16</v>
      </c>
      <c r="T28" s="17" t="s">
        <v>16</v>
      </c>
      <c r="U28" s="17" t="s">
        <v>15</v>
      </c>
      <c r="V28" s="17" t="s">
        <v>15</v>
      </c>
      <c r="W28" s="17" t="s">
        <v>15</v>
      </c>
      <c r="X28" s="22">
        <f t="shared" si="1"/>
        <v>0.8</v>
      </c>
      <c r="Y28" s="16" t="s">
        <v>15</v>
      </c>
      <c r="Z28" s="16" t="s">
        <v>15</v>
      </c>
      <c r="AA28" s="16" t="s">
        <v>16</v>
      </c>
      <c r="AB28" s="16" t="s">
        <v>15</v>
      </c>
      <c r="AC28" s="16" t="s">
        <v>15</v>
      </c>
      <c r="AD28" s="16" t="s">
        <v>15</v>
      </c>
      <c r="AE28" s="16" t="s">
        <v>15</v>
      </c>
      <c r="AF28" s="16" t="s">
        <v>16</v>
      </c>
      <c r="AG28" s="16" t="s">
        <v>16</v>
      </c>
      <c r="AH28" s="16" t="s">
        <v>15</v>
      </c>
      <c r="AI28" s="16" t="s">
        <v>15</v>
      </c>
      <c r="AJ28" s="16" t="s">
        <v>16</v>
      </c>
      <c r="AK28" s="16" t="s">
        <v>15</v>
      </c>
      <c r="AL28" s="16" t="s">
        <v>15</v>
      </c>
      <c r="AM28" s="143" t="s">
        <v>15</v>
      </c>
      <c r="AN28" s="143" t="s">
        <v>15</v>
      </c>
      <c r="AO28" s="143" t="s">
        <v>15</v>
      </c>
      <c r="AP28" s="143" t="s">
        <v>15</v>
      </c>
      <c r="AQ28" s="16" t="s">
        <v>16</v>
      </c>
      <c r="AR28" s="16" t="s">
        <v>16</v>
      </c>
      <c r="AS28" s="22">
        <f t="shared" si="2"/>
        <v>0.7</v>
      </c>
      <c r="AT28" s="16" t="s">
        <v>16</v>
      </c>
      <c r="AU28" s="16" t="s">
        <v>16</v>
      </c>
      <c r="AV28" s="180" t="s">
        <v>45</v>
      </c>
      <c r="AW28" s="85" t="s">
        <v>16</v>
      </c>
      <c r="AX28" s="16"/>
      <c r="AY28" s="16"/>
      <c r="AZ28" s="106" t="s">
        <v>16</v>
      </c>
      <c r="BA28" s="22">
        <f t="shared" si="3"/>
        <v>0</v>
      </c>
      <c r="BB28" s="179" t="s">
        <v>16</v>
      </c>
      <c r="BC28" s="172" t="s">
        <v>16</v>
      </c>
      <c r="BD28" s="16"/>
      <c r="BE28" s="16"/>
      <c r="BF28" s="16"/>
      <c r="BG28" s="85" t="s">
        <v>16</v>
      </c>
      <c r="BH28" s="85" t="s">
        <v>16</v>
      </c>
      <c r="BI28" s="16"/>
      <c r="BJ28" s="21"/>
      <c r="BK28" s="51" t="s">
        <v>16</v>
      </c>
      <c r="BL28" s="51" t="s">
        <v>16</v>
      </c>
      <c r="BM28" s="16" t="s">
        <v>16</v>
      </c>
      <c r="BN28" s="21"/>
      <c r="BO28" s="51" t="s">
        <v>16</v>
      </c>
      <c r="BP28" s="51" t="s">
        <v>16</v>
      </c>
      <c r="BQ28" s="21"/>
      <c r="BR28" s="51" t="s">
        <v>16</v>
      </c>
      <c r="BS28" s="181" t="s">
        <v>16</v>
      </c>
      <c r="BT28" s="21"/>
      <c r="BU28" s="16" t="s">
        <v>16</v>
      </c>
      <c r="BV28" s="16" t="s">
        <v>16</v>
      </c>
      <c r="BW28" s="54" t="s">
        <v>15</v>
      </c>
      <c r="BX28" s="22">
        <f t="shared" si="4"/>
        <v>0.07142857143</v>
      </c>
    </row>
    <row r="29">
      <c r="A29" s="182">
        <v>25.0</v>
      </c>
      <c r="B29" s="86"/>
      <c r="C29" s="87" t="s">
        <v>46</v>
      </c>
      <c r="D29" s="159" t="s">
        <v>16</v>
      </c>
      <c r="E29" s="16" t="s">
        <v>15</v>
      </c>
      <c r="F29" s="16" t="s">
        <v>15</v>
      </c>
      <c r="G29" s="16" t="s">
        <v>15</v>
      </c>
      <c r="H29" s="16" t="s">
        <v>16</v>
      </c>
      <c r="I29" s="16" t="s">
        <v>16</v>
      </c>
      <c r="J29" s="16" t="s">
        <v>15</v>
      </c>
      <c r="K29" s="16" t="s">
        <v>15</v>
      </c>
      <c r="L29" s="16" t="s">
        <v>15</v>
      </c>
      <c r="M29" s="43" t="s">
        <v>15</v>
      </c>
      <c r="N29" s="16" t="s">
        <v>15</v>
      </c>
      <c r="O29" s="16" t="s">
        <v>15</v>
      </c>
      <c r="P29" s="16" t="s">
        <v>16</v>
      </c>
      <c r="Q29" s="17" t="s">
        <v>15</v>
      </c>
      <c r="R29" s="17" t="s">
        <v>15</v>
      </c>
      <c r="S29" s="17" t="s">
        <v>16</v>
      </c>
      <c r="T29" s="16" t="s">
        <v>15</v>
      </c>
      <c r="U29" s="17" t="s">
        <v>16</v>
      </c>
      <c r="V29" s="17" t="s">
        <v>15</v>
      </c>
      <c r="W29" s="17" t="s">
        <v>15</v>
      </c>
      <c r="X29" s="22">
        <f t="shared" si="1"/>
        <v>0.7</v>
      </c>
      <c r="Y29" s="16" t="s">
        <v>15</v>
      </c>
      <c r="Z29" s="16" t="s">
        <v>16</v>
      </c>
      <c r="AA29" s="16" t="s">
        <v>16</v>
      </c>
      <c r="AB29" s="16" t="s">
        <v>15</v>
      </c>
      <c r="AC29" s="16" t="s">
        <v>16</v>
      </c>
      <c r="AD29" s="16" t="s">
        <v>15</v>
      </c>
      <c r="AE29" s="16" t="s">
        <v>16</v>
      </c>
      <c r="AF29" s="16" t="s">
        <v>16</v>
      </c>
      <c r="AG29" s="16" t="s">
        <v>15</v>
      </c>
      <c r="AH29" s="16" t="s">
        <v>16</v>
      </c>
      <c r="AI29" s="16" t="s">
        <v>15</v>
      </c>
      <c r="AJ29" s="16" t="s">
        <v>16</v>
      </c>
      <c r="AK29" s="16" t="s">
        <v>16</v>
      </c>
      <c r="AL29" s="16" t="s">
        <v>15</v>
      </c>
      <c r="AM29" s="16" t="s">
        <v>16</v>
      </c>
      <c r="AN29" s="16" t="s">
        <v>16</v>
      </c>
      <c r="AO29" s="16" t="s">
        <v>16</v>
      </c>
      <c r="AP29" s="16" t="s">
        <v>16</v>
      </c>
      <c r="AQ29" s="16" t="s">
        <v>16</v>
      </c>
      <c r="AR29" s="16" t="s">
        <v>15</v>
      </c>
      <c r="AS29" s="22">
        <f t="shared" si="2"/>
        <v>0.35</v>
      </c>
      <c r="AT29" s="16" t="s">
        <v>15</v>
      </c>
      <c r="AU29" s="16" t="s">
        <v>16</v>
      </c>
      <c r="AV29" s="16" t="s">
        <v>15</v>
      </c>
      <c r="AW29" s="183" t="s">
        <v>15</v>
      </c>
      <c r="AX29" s="16"/>
      <c r="AY29" s="16"/>
      <c r="AZ29" s="184" t="s">
        <v>15</v>
      </c>
      <c r="BA29" s="22">
        <f t="shared" si="3"/>
        <v>0.8</v>
      </c>
      <c r="BB29" s="185" t="s">
        <v>15</v>
      </c>
      <c r="BC29" s="186" t="s">
        <v>15</v>
      </c>
      <c r="BD29" s="16"/>
      <c r="BE29" s="16"/>
      <c r="BF29" s="16"/>
      <c r="BG29" s="74" t="s">
        <v>18</v>
      </c>
      <c r="BH29" s="74" t="s">
        <v>18</v>
      </c>
      <c r="BI29" s="16"/>
      <c r="BJ29" s="21"/>
      <c r="BK29" s="187" t="s">
        <v>18</v>
      </c>
      <c r="BL29" s="187" t="s">
        <v>18</v>
      </c>
      <c r="BM29" s="21"/>
      <c r="BN29" s="21"/>
      <c r="BO29" s="51" t="s">
        <v>16</v>
      </c>
      <c r="BP29" s="187" t="s">
        <v>18</v>
      </c>
      <c r="BQ29" s="21"/>
      <c r="BR29" s="187" t="s">
        <v>18</v>
      </c>
      <c r="BS29" s="188" t="s">
        <v>18</v>
      </c>
      <c r="BT29" s="21"/>
      <c r="BU29" s="21"/>
      <c r="BV29" s="16"/>
      <c r="BW29" s="111" t="s">
        <v>18</v>
      </c>
      <c r="BX29" s="22">
        <f t="shared" si="4"/>
        <v>0.6666666667</v>
      </c>
    </row>
    <row r="30">
      <c r="A30" s="16">
        <v>26.0</v>
      </c>
      <c r="B30" s="25"/>
      <c r="C30" s="63"/>
      <c r="D30" s="43" t="s">
        <v>15</v>
      </c>
      <c r="E30" s="16" t="s">
        <v>15</v>
      </c>
      <c r="F30" s="16" t="s">
        <v>15</v>
      </c>
      <c r="G30" s="16" t="s">
        <v>15</v>
      </c>
      <c r="H30" s="16" t="s">
        <v>15</v>
      </c>
      <c r="I30" s="16" t="s">
        <v>15</v>
      </c>
      <c r="J30" s="16" t="s">
        <v>15</v>
      </c>
      <c r="K30" s="16" t="s">
        <v>15</v>
      </c>
      <c r="L30" s="16" t="s">
        <v>15</v>
      </c>
      <c r="M30" s="43" t="s">
        <v>15</v>
      </c>
      <c r="N30" s="16" t="s">
        <v>15</v>
      </c>
      <c r="O30" s="16" t="s">
        <v>15</v>
      </c>
      <c r="P30" s="16" t="s">
        <v>15</v>
      </c>
      <c r="Q30" s="17" t="s">
        <v>15</v>
      </c>
      <c r="R30" s="17" t="s">
        <v>15</v>
      </c>
      <c r="S30" s="17" t="s">
        <v>15</v>
      </c>
      <c r="T30" s="16" t="s">
        <v>15</v>
      </c>
      <c r="U30" s="17" t="s">
        <v>15</v>
      </c>
      <c r="V30" s="17" t="s">
        <v>15</v>
      </c>
      <c r="W30" s="17" t="s">
        <v>15</v>
      </c>
      <c r="X30" s="22">
        <f t="shared" si="1"/>
        <v>1</v>
      </c>
      <c r="Y30" s="16" t="s">
        <v>15</v>
      </c>
      <c r="Z30" s="16" t="s">
        <v>15</v>
      </c>
      <c r="AA30" s="16" t="s">
        <v>15</v>
      </c>
      <c r="AB30" s="16" t="s">
        <v>16</v>
      </c>
      <c r="AC30" s="16" t="s">
        <v>15</v>
      </c>
      <c r="AD30" s="16" t="s">
        <v>15</v>
      </c>
      <c r="AE30" s="16" t="s">
        <v>15</v>
      </c>
      <c r="AF30" s="16" t="s">
        <v>15</v>
      </c>
      <c r="AG30" s="16" t="s">
        <v>15</v>
      </c>
      <c r="AH30" s="16" t="s">
        <v>15</v>
      </c>
      <c r="AI30" s="16" t="s">
        <v>15</v>
      </c>
      <c r="AJ30" s="16" t="s">
        <v>15</v>
      </c>
      <c r="AK30" s="16" t="s">
        <v>15</v>
      </c>
      <c r="AL30" s="16" t="s">
        <v>16</v>
      </c>
      <c r="AM30" s="143" t="s">
        <v>15</v>
      </c>
      <c r="AN30" s="143" t="s">
        <v>15</v>
      </c>
      <c r="AO30" s="143" t="s">
        <v>15</v>
      </c>
      <c r="AP30" s="143" t="s">
        <v>15</v>
      </c>
      <c r="AQ30" s="16" t="s">
        <v>15</v>
      </c>
      <c r="AR30" s="16" t="s">
        <v>15</v>
      </c>
      <c r="AS30" s="22">
        <f t="shared" si="2"/>
        <v>0.9</v>
      </c>
      <c r="AT30" s="16" t="s">
        <v>15</v>
      </c>
      <c r="AU30" s="16" t="s">
        <v>15</v>
      </c>
      <c r="AV30" s="16" t="s">
        <v>15</v>
      </c>
      <c r="AW30" s="71" t="s">
        <v>15</v>
      </c>
      <c r="AX30" s="16"/>
      <c r="AY30" s="16"/>
      <c r="AZ30" s="83" t="s">
        <v>15</v>
      </c>
      <c r="BA30" s="22">
        <f t="shared" si="3"/>
        <v>1</v>
      </c>
      <c r="BB30" s="162" t="s">
        <v>15</v>
      </c>
      <c r="BC30" s="163" t="s">
        <v>15</v>
      </c>
      <c r="BD30" s="16"/>
      <c r="BE30" s="16"/>
      <c r="BF30" s="16"/>
      <c r="BG30" s="71" t="s">
        <v>15</v>
      </c>
      <c r="BH30" s="71" t="s">
        <v>15</v>
      </c>
      <c r="BI30" s="16"/>
      <c r="BJ30" s="21"/>
      <c r="BK30" s="65" t="s">
        <v>15</v>
      </c>
      <c r="BL30" s="65" t="s">
        <v>15</v>
      </c>
      <c r="BM30" s="16" t="s">
        <v>15</v>
      </c>
      <c r="BN30" s="21"/>
      <c r="BO30" s="16" t="s">
        <v>15</v>
      </c>
      <c r="BP30" s="65" t="s">
        <v>15</v>
      </c>
      <c r="BQ30" s="21"/>
      <c r="BR30" s="65" t="s">
        <v>15</v>
      </c>
      <c r="BS30" s="164" t="s">
        <v>15</v>
      </c>
      <c r="BT30" s="21"/>
      <c r="BU30" s="16" t="s">
        <v>15</v>
      </c>
      <c r="BV30" s="16" t="s">
        <v>15</v>
      </c>
      <c r="BW30" s="54" t="s">
        <v>15</v>
      </c>
      <c r="BX30" s="22">
        <f t="shared" si="4"/>
        <v>1</v>
      </c>
    </row>
    <row r="31">
      <c r="A31" s="16">
        <v>27.0</v>
      </c>
      <c r="B31" s="167"/>
      <c r="C31" s="189"/>
      <c r="D31" s="159" t="s">
        <v>16</v>
      </c>
      <c r="E31" s="16" t="s">
        <v>15</v>
      </c>
      <c r="F31" s="16" t="s">
        <v>15</v>
      </c>
      <c r="G31" s="16" t="s">
        <v>16</v>
      </c>
      <c r="H31" s="16" t="s">
        <v>16</v>
      </c>
      <c r="I31" s="16" t="s">
        <v>15</v>
      </c>
      <c r="J31" s="16" t="s">
        <v>15</v>
      </c>
      <c r="K31" s="16" t="s">
        <v>15</v>
      </c>
      <c r="L31" s="16" t="s">
        <v>16</v>
      </c>
      <c r="M31" s="43" t="s">
        <v>15</v>
      </c>
      <c r="N31" s="16" t="s">
        <v>16</v>
      </c>
      <c r="O31" s="16" t="s">
        <v>16</v>
      </c>
      <c r="P31" s="16" t="s">
        <v>15</v>
      </c>
      <c r="Q31" s="16" t="s">
        <v>15</v>
      </c>
      <c r="R31" s="16" t="s">
        <v>15</v>
      </c>
      <c r="S31" s="16" t="s">
        <v>15</v>
      </c>
      <c r="T31" s="16" t="s">
        <v>15</v>
      </c>
      <c r="U31" s="16" t="s">
        <v>16</v>
      </c>
      <c r="V31" s="16" t="s">
        <v>15</v>
      </c>
      <c r="W31" s="16" t="s">
        <v>16</v>
      </c>
      <c r="X31" s="22">
        <f t="shared" si="1"/>
        <v>0.6</v>
      </c>
      <c r="Y31" s="16" t="s">
        <v>16</v>
      </c>
      <c r="Z31" s="16" t="s">
        <v>15</v>
      </c>
      <c r="AA31" s="16" t="s">
        <v>16</v>
      </c>
      <c r="AB31" s="16" t="s">
        <v>16</v>
      </c>
      <c r="AC31" s="16" t="s">
        <v>16</v>
      </c>
      <c r="AD31" s="16" t="s">
        <v>15</v>
      </c>
      <c r="AE31" s="16" t="s">
        <v>16</v>
      </c>
      <c r="AF31" s="16" t="s">
        <v>15</v>
      </c>
      <c r="AG31" s="16" t="s">
        <v>16</v>
      </c>
      <c r="AH31" s="16" t="s">
        <v>15</v>
      </c>
      <c r="AI31" s="16" t="s">
        <v>15</v>
      </c>
      <c r="AJ31" s="16" t="s">
        <v>16</v>
      </c>
      <c r="AK31" s="16" t="s">
        <v>16</v>
      </c>
      <c r="AL31" s="16" t="s">
        <v>16</v>
      </c>
      <c r="AM31" s="16" t="s">
        <v>16</v>
      </c>
      <c r="AN31" s="16" t="s">
        <v>16</v>
      </c>
      <c r="AO31" s="143" t="s">
        <v>15</v>
      </c>
      <c r="AP31" s="16" t="s">
        <v>16</v>
      </c>
      <c r="AQ31" s="16" t="s">
        <v>16</v>
      </c>
      <c r="AR31" s="16" t="s">
        <v>15</v>
      </c>
      <c r="AS31" s="22">
        <f t="shared" si="2"/>
        <v>0.35</v>
      </c>
      <c r="AT31" s="16" t="s">
        <v>15</v>
      </c>
      <c r="AU31" s="16" t="s">
        <v>15</v>
      </c>
      <c r="AV31" s="16" t="s">
        <v>15</v>
      </c>
      <c r="AW31" s="65" t="s">
        <v>15</v>
      </c>
      <c r="AX31" s="21"/>
      <c r="AY31" s="21"/>
      <c r="AZ31" s="54" t="s">
        <v>15</v>
      </c>
      <c r="BA31" s="22">
        <f t="shared" si="3"/>
        <v>1</v>
      </c>
      <c r="BB31" s="170" t="s">
        <v>15</v>
      </c>
      <c r="BC31" s="164" t="s">
        <v>15</v>
      </c>
      <c r="BD31" s="21"/>
      <c r="BE31" s="21"/>
      <c r="BF31" s="21"/>
      <c r="BG31" s="65" t="s">
        <v>15</v>
      </c>
      <c r="BH31" s="51" t="s">
        <v>16</v>
      </c>
      <c r="BI31" s="21"/>
      <c r="BJ31" s="21"/>
      <c r="BK31" s="65" t="s">
        <v>15</v>
      </c>
      <c r="BL31" s="65" t="s">
        <v>15</v>
      </c>
      <c r="BM31" s="16" t="s">
        <v>15</v>
      </c>
      <c r="BN31" s="21"/>
      <c r="BO31" s="16" t="s">
        <v>15</v>
      </c>
      <c r="BP31" s="65" t="s">
        <v>15</v>
      </c>
      <c r="BQ31" s="21"/>
      <c r="BR31" s="65" t="s">
        <v>15</v>
      </c>
      <c r="BS31" s="164" t="s">
        <v>15</v>
      </c>
      <c r="BT31" s="21"/>
      <c r="BU31" s="16" t="s">
        <v>15</v>
      </c>
      <c r="BV31" s="16" t="s">
        <v>15</v>
      </c>
      <c r="BW31" s="54" t="s">
        <v>15</v>
      </c>
      <c r="BX31" s="22">
        <f t="shared" si="4"/>
        <v>0.9285714286</v>
      </c>
    </row>
    <row r="32">
      <c r="A32" s="16">
        <v>28.0</v>
      </c>
      <c r="B32" s="114"/>
      <c r="C32" s="63"/>
      <c r="D32" s="159" t="s">
        <v>16</v>
      </c>
      <c r="E32" s="16" t="s">
        <v>15</v>
      </c>
      <c r="F32" s="16" t="s">
        <v>15</v>
      </c>
      <c r="G32" s="16" t="s">
        <v>15</v>
      </c>
      <c r="H32" s="16" t="s">
        <v>15</v>
      </c>
      <c r="I32" s="16" t="s">
        <v>16</v>
      </c>
      <c r="J32" s="16" t="s">
        <v>15</v>
      </c>
      <c r="K32" s="16" t="s">
        <v>15</v>
      </c>
      <c r="L32" s="16" t="s">
        <v>16</v>
      </c>
      <c r="M32" s="43" t="s">
        <v>15</v>
      </c>
      <c r="N32" s="16" t="s">
        <v>16</v>
      </c>
      <c r="O32" s="16" t="s">
        <v>15</v>
      </c>
      <c r="P32" s="16" t="s">
        <v>15</v>
      </c>
      <c r="Q32" s="16" t="s">
        <v>15</v>
      </c>
      <c r="R32" s="16" t="s">
        <v>15</v>
      </c>
      <c r="S32" s="16" t="s">
        <v>15</v>
      </c>
      <c r="T32" s="16" t="s">
        <v>15</v>
      </c>
      <c r="U32" s="16" t="s">
        <v>15</v>
      </c>
      <c r="V32" s="16" t="s">
        <v>15</v>
      </c>
      <c r="W32" s="16" t="s">
        <v>15</v>
      </c>
      <c r="X32" s="22">
        <f t="shared" si="1"/>
        <v>0.8</v>
      </c>
      <c r="Y32" s="16" t="s">
        <v>15</v>
      </c>
      <c r="Z32" s="16" t="s">
        <v>15</v>
      </c>
      <c r="AA32" s="16" t="s">
        <v>16</v>
      </c>
      <c r="AB32" s="16" t="s">
        <v>15</v>
      </c>
      <c r="AC32" s="16" t="s">
        <v>15</v>
      </c>
      <c r="AD32" s="16" t="s">
        <v>15</v>
      </c>
      <c r="AE32" s="16" t="s">
        <v>15</v>
      </c>
      <c r="AF32" s="16" t="s">
        <v>15</v>
      </c>
      <c r="AG32" s="16" t="s">
        <v>15</v>
      </c>
      <c r="AH32" s="16" t="s">
        <v>15</v>
      </c>
      <c r="AI32" s="16" t="s">
        <v>16</v>
      </c>
      <c r="AJ32" s="16" t="s">
        <v>15</v>
      </c>
      <c r="AK32" s="16" t="s">
        <v>15</v>
      </c>
      <c r="AL32" s="16" t="s">
        <v>15</v>
      </c>
      <c r="AM32" s="143" t="s">
        <v>15</v>
      </c>
      <c r="AN32" s="143" t="s">
        <v>15</v>
      </c>
      <c r="AO32" s="143" t="s">
        <v>15</v>
      </c>
      <c r="AP32" s="16" t="s">
        <v>16</v>
      </c>
      <c r="AQ32" s="16" t="s">
        <v>15</v>
      </c>
      <c r="AR32" s="16" t="s">
        <v>15</v>
      </c>
      <c r="AS32" s="22">
        <f t="shared" si="2"/>
        <v>0.85</v>
      </c>
      <c r="AT32" s="16" t="s">
        <v>15</v>
      </c>
      <c r="AU32" s="16" t="s">
        <v>16</v>
      </c>
      <c r="AV32" s="16" t="s">
        <v>15</v>
      </c>
      <c r="AW32" s="65" t="s">
        <v>15</v>
      </c>
      <c r="AX32" s="21"/>
      <c r="AY32" s="21"/>
      <c r="AZ32" s="54" t="s">
        <v>15</v>
      </c>
      <c r="BA32" s="22">
        <f t="shared" si="3"/>
        <v>0.8</v>
      </c>
      <c r="BB32" s="170" t="s">
        <v>15</v>
      </c>
      <c r="BC32" s="164" t="s">
        <v>15</v>
      </c>
      <c r="BD32" s="21"/>
      <c r="BE32" s="21"/>
      <c r="BF32" s="21"/>
      <c r="BG32" s="65" t="s">
        <v>15</v>
      </c>
      <c r="BH32" s="65" t="s">
        <v>15</v>
      </c>
      <c r="BI32" s="21"/>
      <c r="BJ32" s="21"/>
      <c r="BK32" s="65" t="s">
        <v>15</v>
      </c>
      <c r="BL32" s="65" t="s">
        <v>15</v>
      </c>
      <c r="BM32" s="16" t="s">
        <v>15</v>
      </c>
      <c r="BN32" s="21"/>
      <c r="BO32" s="16" t="s">
        <v>15</v>
      </c>
      <c r="BP32" s="65" t="s">
        <v>15</v>
      </c>
      <c r="BQ32" s="21"/>
      <c r="BR32" s="65" t="s">
        <v>15</v>
      </c>
      <c r="BS32" s="164" t="s">
        <v>15</v>
      </c>
      <c r="BT32" s="21"/>
      <c r="BU32" s="16" t="s">
        <v>15</v>
      </c>
      <c r="BV32" s="16" t="s">
        <v>15</v>
      </c>
      <c r="BW32" s="54" t="s">
        <v>15</v>
      </c>
      <c r="BX32" s="22">
        <f t="shared" si="4"/>
        <v>1</v>
      </c>
    </row>
    <row r="33">
      <c r="A33" s="16">
        <v>29.0</v>
      </c>
      <c r="B33" s="46"/>
      <c r="C33" s="63"/>
      <c r="D33" s="52" t="s">
        <v>20</v>
      </c>
      <c r="E33" s="52" t="s">
        <v>20</v>
      </c>
      <c r="F33" s="52" t="s">
        <v>20</v>
      </c>
      <c r="G33" s="52" t="s">
        <v>20</v>
      </c>
      <c r="H33" s="52" t="s">
        <v>20</v>
      </c>
      <c r="I33" s="52" t="s">
        <v>20</v>
      </c>
      <c r="J33" s="52" t="s">
        <v>20</v>
      </c>
      <c r="K33" s="52" t="s">
        <v>20</v>
      </c>
      <c r="L33" s="52" t="s">
        <v>20</v>
      </c>
      <c r="M33" s="52" t="s">
        <v>20</v>
      </c>
      <c r="N33" s="52" t="s">
        <v>20</v>
      </c>
      <c r="O33" s="52" t="s">
        <v>20</v>
      </c>
      <c r="P33" s="52" t="s">
        <v>20</v>
      </c>
      <c r="Q33" s="52" t="s">
        <v>20</v>
      </c>
      <c r="R33" s="52" t="s">
        <v>20</v>
      </c>
      <c r="S33" s="52" t="s">
        <v>20</v>
      </c>
      <c r="T33" s="52" t="s">
        <v>20</v>
      </c>
      <c r="U33" s="52" t="s">
        <v>20</v>
      </c>
      <c r="V33" s="52" t="s">
        <v>20</v>
      </c>
      <c r="W33" s="52" t="s">
        <v>20</v>
      </c>
      <c r="X33" s="22" t="str">
        <f t="shared" si="1"/>
        <v>0,00%</v>
      </c>
      <c r="Y33" s="52" t="s">
        <v>20</v>
      </c>
      <c r="Z33" s="52" t="s">
        <v>20</v>
      </c>
      <c r="AA33" s="52" t="s">
        <v>20</v>
      </c>
      <c r="AB33" s="52" t="s">
        <v>20</v>
      </c>
      <c r="AC33" s="52" t="s">
        <v>20</v>
      </c>
      <c r="AD33" s="52" t="s">
        <v>20</v>
      </c>
      <c r="AE33" s="52" t="s">
        <v>20</v>
      </c>
      <c r="AF33" s="52" t="s">
        <v>20</v>
      </c>
      <c r="AG33" s="52" t="s">
        <v>20</v>
      </c>
      <c r="AH33" s="52" t="s">
        <v>20</v>
      </c>
      <c r="AI33" s="52" t="s">
        <v>20</v>
      </c>
      <c r="AJ33" s="52" t="s">
        <v>20</v>
      </c>
      <c r="AK33" s="52" t="s">
        <v>20</v>
      </c>
      <c r="AL33" s="52" t="s">
        <v>20</v>
      </c>
      <c r="AM33" s="52" t="s">
        <v>20</v>
      </c>
      <c r="AN33" s="52" t="s">
        <v>20</v>
      </c>
      <c r="AO33" s="52" t="s">
        <v>20</v>
      </c>
      <c r="AP33" s="52" t="s">
        <v>20</v>
      </c>
      <c r="AQ33" s="52" t="s">
        <v>20</v>
      </c>
      <c r="AR33" s="52" t="s">
        <v>20</v>
      </c>
      <c r="AS33" s="22" t="str">
        <f t="shared" si="2"/>
        <v>0,00%</v>
      </c>
      <c r="AT33" s="52" t="s">
        <v>20</v>
      </c>
      <c r="AU33" s="52" t="s">
        <v>20</v>
      </c>
      <c r="AV33" s="52" t="s">
        <v>20</v>
      </c>
      <c r="AW33" s="52" t="s">
        <v>20</v>
      </c>
      <c r="AX33" s="52" t="s">
        <v>20</v>
      </c>
      <c r="AY33" s="52" t="s">
        <v>20</v>
      </c>
      <c r="AZ33" s="54" t="s">
        <v>15</v>
      </c>
      <c r="BA33" s="22">
        <f t="shared" si="3"/>
        <v>1</v>
      </c>
      <c r="BB33" s="52" t="s">
        <v>20</v>
      </c>
      <c r="BC33" s="52" t="s">
        <v>20</v>
      </c>
      <c r="BD33" s="52" t="s">
        <v>20</v>
      </c>
      <c r="BE33" s="52" t="s">
        <v>20</v>
      </c>
      <c r="BF33" s="52" t="s">
        <v>20</v>
      </c>
      <c r="BG33" s="52" t="s">
        <v>20</v>
      </c>
      <c r="BH33" s="52" t="s">
        <v>20</v>
      </c>
      <c r="BI33" s="21"/>
      <c r="BJ33" s="21"/>
      <c r="BK33" s="21"/>
      <c r="BL33" s="21"/>
      <c r="BM33" s="21"/>
      <c r="BN33" s="21"/>
      <c r="BO33" s="21"/>
      <c r="BP33" s="21"/>
      <c r="BQ33" s="21"/>
      <c r="BR33" s="65" t="s">
        <v>15</v>
      </c>
      <c r="BS33" s="164" t="s">
        <v>15</v>
      </c>
      <c r="BT33" s="21"/>
      <c r="BU33" s="16" t="s">
        <v>16</v>
      </c>
      <c r="BV33" s="16" t="s">
        <v>15</v>
      </c>
      <c r="BW33" s="67" t="s">
        <v>16</v>
      </c>
      <c r="BX33" s="22">
        <f t="shared" si="4"/>
        <v>0.6</v>
      </c>
    </row>
    <row r="34">
      <c r="A34" s="6"/>
      <c r="B34" s="191"/>
      <c r="C34" s="192"/>
      <c r="D34" s="194"/>
      <c r="E34" s="1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95"/>
    </row>
    <row r="35">
      <c r="A35" s="6"/>
      <c r="B35" s="195"/>
      <c r="C35" s="192"/>
      <c r="D35" s="194"/>
      <c r="E35" s="1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95"/>
    </row>
    <row r="36">
      <c r="A36" s="6"/>
      <c r="B36" s="191"/>
      <c r="C36" s="192"/>
      <c r="D36" s="194"/>
      <c r="E36" s="196" t="s">
        <v>28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95"/>
    </row>
    <row r="37">
      <c r="A37" s="6"/>
      <c r="D37" s="199"/>
      <c r="E37" s="117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101"/>
    </row>
    <row r="38">
      <c r="A38" s="6"/>
      <c r="E38" s="117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101"/>
    </row>
    <row r="39">
      <c r="A39" s="6"/>
      <c r="E39" s="117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101"/>
    </row>
    <row r="40">
      <c r="A40" s="6"/>
      <c r="E40" s="117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101"/>
    </row>
    <row r="41">
      <c r="A41" s="6"/>
      <c r="E41" s="97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101"/>
    </row>
    <row r="42">
      <c r="A42" s="6"/>
      <c r="E42" s="97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101"/>
    </row>
    <row r="43">
      <c r="A43" s="6"/>
      <c r="E43" s="97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101"/>
    </row>
    <row r="44">
      <c r="A44" s="6"/>
      <c r="E44" s="97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101"/>
    </row>
    <row r="45">
      <c r="A45" s="6"/>
      <c r="E45" s="97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101"/>
    </row>
    <row r="46">
      <c r="A46" s="6"/>
      <c r="E46" s="97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101"/>
    </row>
    <row r="47">
      <c r="E47" s="97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101"/>
    </row>
  </sheetData>
  <mergeCells count="19">
    <mergeCell ref="D1:W3"/>
    <mergeCell ref="AT1:AZ3"/>
    <mergeCell ref="BB1:BW3"/>
    <mergeCell ref="X2:X3"/>
    <mergeCell ref="AS2:AS3"/>
    <mergeCell ref="BA2:BA3"/>
    <mergeCell ref="BX2:BX3"/>
    <mergeCell ref="E43:AS43"/>
    <mergeCell ref="E44:AS44"/>
    <mergeCell ref="E45:AS45"/>
    <mergeCell ref="E46:AS46"/>
    <mergeCell ref="E47:AS47"/>
    <mergeCell ref="Y1:AR3"/>
    <mergeCell ref="E37:AS37"/>
    <mergeCell ref="E38:AS38"/>
    <mergeCell ref="E39:AS39"/>
    <mergeCell ref="E40:AS40"/>
    <mergeCell ref="E41:AS41"/>
    <mergeCell ref="E42:AS42"/>
  </mergeCells>
  <conditionalFormatting sqref="AD13 AD15 AH15 AL15:AL16 AJ16:AJ17 AN16 AP16 AR16">
    <cfRule type="notContainsBlanks" dxfId="5" priority="1">
      <formula>LEN(TRIM(AD13))&gt;0</formula>
    </cfRule>
  </conditionalFormatting>
  <conditionalFormatting sqref="D5:D36 E5:J39 K5:K36 L5:AE39 AF5:AF37 AG5:BE39 BF5:BW33 BX21">
    <cfRule type="cellIs" dxfId="3" priority="2" operator="equal">
      <formula>"P"</formula>
    </cfRule>
  </conditionalFormatting>
  <conditionalFormatting sqref="D5:D36 E5:J39 K5:K36 L5:AE39 AF5:AF37 AG5:BE39 BF5:BW33 BX21">
    <cfRule type="cellIs" dxfId="4" priority="3" operator="equal">
      <formula>"F"</formula>
    </cfRule>
  </conditionalFormatting>
  <dataValidations>
    <dataValidation type="list" allowBlank="1" showDropDown="1" sqref="AM5 AO5 AM6:AO6 AM7:AP7 AO8 AM8:AM9 AO9:AP9 AM11 AO11 AM12:AP12 AM13:AN13 AO14:AP14 AM14:AM15 AO15 AM16:AP16 D5:D17 AM17 AO17 AN19:AP19 AM20 AO20 AM21:AN21 AP21 AM22 AO22:AP22 AM23:AP23 AM24:AM25 AO24:AP25 AP26 AM27 AO27:AP27 AM28:AP28 AM30:AP30 AO31 D19:D32 M5:M32 AM32:AO32 D33:W33 Y33:AR33 AT33:AY33 BB33:BH33">
      <formula1>"-,P,F"</formula1>
    </dataValidation>
    <dataValidation type="custom" allowBlank="1" showDropDown="1" sqref="B7 C8 B15:B16 B28:B29">
      <formula1>OR(NOT(ISERROR(DATEVALUE(B7))), AND(ISNUMBER(B7), LEFT(CELL("format", B7))="D"))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4.0"/>
    <col customWidth="1" min="2" max="2" width="36.0"/>
    <col customWidth="1" min="4" max="23" width="2.63"/>
    <col customWidth="1" min="24" max="24" width="7.75"/>
    <col customWidth="1" min="25" max="44" width="2.63"/>
    <col customWidth="1" min="45" max="45" width="7.13"/>
    <col customWidth="1" min="46" max="52" width="2.63"/>
    <col customWidth="1" min="53" max="53" width="7.25"/>
    <col customWidth="1" min="54" max="75" width="2.63"/>
    <col customWidth="1" min="76" max="76" width="8.25"/>
    <col customWidth="1" min="77" max="94" width="2.63"/>
  </cols>
  <sheetData>
    <row r="1">
      <c r="A1" s="1" t="s">
        <v>0</v>
      </c>
      <c r="B1" s="1"/>
      <c r="C1" s="1"/>
      <c r="D1" s="2" t="s">
        <v>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 t="s">
        <v>2</v>
      </c>
      <c r="Y1" s="2" t="s">
        <v>7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4"/>
      <c r="AS1" s="5" t="s">
        <v>2</v>
      </c>
      <c r="AT1" s="2" t="s">
        <v>8</v>
      </c>
      <c r="AU1" s="3"/>
      <c r="AV1" s="3"/>
      <c r="AW1" s="3"/>
      <c r="AX1" s="3"/>
      <c r="AY1" s="3"/>
      <c r="AZ1" s="4"/>
      <c r="BA1" s="5" t="s">
        <v>2</v>
      </c>
      <c r="BB1" s="2" t="s">
        <v>9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4"/>
      <c r="BX1" s="5" t="s">
        <v>2</v>
      </c>
    </row>
    <row r="2">
      <c r="C2" s="6"/>
      <c r="D2" s="7"/>
      <c r="W2" s="8"/>
      <c r="X2" s="9">
        <f>COUNT(D4:Q4)</f>
        <v>14</v>
      </c>
      <c r="Y2" s="7"/>
      <c r="AR2" s="8"/>
      <c r="AS2" s="9">
        <f>COUNT(Y4:AR4)</f>
        <v>20</v>
      </c>
      <c r="AT2" s="7"/>
      <c r="AZ2" s="8"/>
      <c r="BA2" s="9">
        <f>COUNT(AT4:AZ4)</f>
        <v>7</v>
      </c>
      <c r="BB2" s="7"/>
      <c r="BW2" s="8"/>
      <c r="BX2" s="9">
        <f>COUNT(BB4:BQ4)</f>
        <v>16</v>
      </c>
    </row>
    <row r="3">
      <c r="C3" s="6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4"/>
      <c r="X3" s="15"/>
      <c r="Y3" s="12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4"/>
      <c r="AS3" s="15"/>
      <c r="AT3" s="12"/>
      <c r="AU3" s="13"/>
      <c r="AV3" s="13"/>
      <c r="AW3" s="13"/>
      <c r="AX3" s="13"/>
      <c r="AY3" s="13"/>
      <c r="AZ3" s="14"/>
      <c r="BA3" s="15"/>
      <c r="BB3" s="12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4"/>
      <c r="BX3" s="15"/>
    </row>
    <row r="4">
      <c r="A4" s="16" t="s">
        <v>10</v>
      </c>
      <c r="B4" s="17" t="s">
        <v>11</v>
      </c>
      <c r="C4" s="16" t="s">
        <v>14</v>
      </c>
      <c r="D4" s="18">
        <v>4.0</v>
      </c>
      <c r="E4" s="18">
        <v>5.0</v>
      </c>
      <c r="F4" s="18">
        <v>6.0</v>
      </c>
      <c r="G4" s="18">
        <v>7.0</v>
      </c>
      <c r="H4" s="18">
        <v>8.0</v>
      </c>
      <c r="I4" s="18">
        <v>11.0</v>
      </c>
      <c r="J4" s="18">
        <v>12.0</v>
      </c>
      <c r="K4" s="18">
        <v>13.0</v>
      </c>
      <c r="L4" s="18">
        <v>14.0</v>
      </c>
      <c r="M4" s="18">
        <v>15.0</v>
      </c>
      <c r="N4" s="18">
        <v>18.0</v>
      </c>
      <c r="O4" s="18">
        <v>19.0</v>
      </c>
      <c r="P4" s="18">
        <v>20.0</v>
      </c>
      <c r="Q4" s="18">
        <v>21.0</v>
      </c>
      <c r="R4" s="18">
        <v>22.0</v>
      </c>
      <c r="S4" s="18">
        <v>25.0</v>
      </c>
      <c r="T4" s="18">
        <v>26.0</v>
      </c>
      <c r="U4" s="18">
        <v>27.0</v>
      </c>
      <c r="V4" s="18">
        <v>28.0</v>
      </c>
      <c r="W4" s="18">
        <v>29.0</v>
      </c>
      <c r="X4" s="19" t="s">
        <v>13</v>
      </c>
      <c r="Y4" s="18">
        <v>1.0</v>
      </c>
      <c r="Z4" s="18">
        <v>2.0</v>
      </c>
      <c r="AA4" s="18">
        <v>3.0</v>
      </c>
      <c r="AB4" s="18">
        <v>8.0</v>
      </c>
      <c r="AC4" s="18">
        <v>9.0</v>
      </c>
      <c r="AD4" s="18">
        <v>10.0</v>
      </c>
      <c r="AE4" s="18">
        <v>11.0</v>
      </c>
      <c r="AF4" s="18">
        <v>12.0</v>
      </c>
      <c r="AG4" s="18">
        <v>15.0</v>
      </c>
      <c r="AH4" s="18">
        <v>16.0</v>
      </c>
      <c r="AI4" s="18">
        <v>17.0</v>
      </c>
      <c r="AJ4" s="18">
        <v>18.0</v>
      </c>
      <c r="AK4" s="18">
        <v>19.0</v>
      </c>
      <c r="AL4" s="18">
        <v>22.0</v>
      </c>
      <c r="AM4" s="18">
        <v>23.0</v>
      </c>
      <c r="AN4" s="18">
        <v>24.0</v>
      </c>
      <c r="AO4" s="18">
        <v>25.0</v>
      </c>
      <c r="AP4" s="18">
        <v>26.0</v>
      </c>
      <c r="AQ4" s="18">
        <v>29.0</v>
      </c>
      <c r="AR4" s="18">
        <v>30.0</v>
      </c>
      <c r="AS4" s="19" t="s">
        <v>13</v>
      </c>
      <c r="AT4" s="18">
        <v>1.0</v>
      </c>
      <c r="AU4" s="18">
        <v>2.0</v>
      </c>
      <c r="AV4" s="18">
        <v>3.0</v>
      </c>
      <c r="AW4" s="18">
        <v>28.0</v>
      </c>
      <c r="AX4" s="18">
        <v>29.0</v>
      </c>
      <c r="AY4" s="18">
        <v>30.0</v>
      </c>
      <c r="AZ4" s="18">
        <v>31.0</v>
      </c>
      <c r="BA4" s="19" t="s">
        <v>13</v>
      </c>
      <c r="BB4" s="18">
        <v>3.0</v>
      </c>
      <c r="BC4" s="18">
        <v>4.0</v>
      </c>
      <c r="BD4" s="18">
        <v>5.0</v>
      </c>
      <c r="BE4" s="18">
        <v>6.0</v>
      </c>
      <c r="BF4" s="18">
        <v>7.0</v>
      </c>
      <c r="BG4" s="18">
        <v>10.0</v>
      </c>
      <c r="BH4" s="18">
        <v>11.0</v>
      </c>
      <c r="BI4" s="18">
        <v>12.0</v>
      </c>
      <c r="BJ4" s="18">
        <v>13.0</v>
      </c>
      <c r="BK4" s="18">
        <v>14.0</v>
      </c>
      <c r="BL4" s="18">
        <v>17.0</v>
      </c>
      <c r="BM4" s="18">
        <v>18.0</v>
      </c>
      <c r="BN4" s="18">
        <v>19.0</v>
      </c>
      <c r="BO4" s="18">
        <v>20.0</v>
      </c>
      <c r="BP4" s="18">
        <v>21.0</v>
      </c>
      <c r="BQ4" s="18">
        <v>22.0</v>
      </c>
      <c r="BR4" s="18">
        <v>24.0</v>
      </c>
      <c r="BS4" s="18">
        <v>25.0</v>
      </c>
      <c r="BT4" s="18">
        <v>26.0</v>
      </c>
      <c r="BU4" s="18">
        <v>27.0</v>
      </c>
      <c r="BV4" s="18">
        <v>28.0</v>
      </c>
      <c r="BW4" s="18">
        <v>31.0</v>
      </c>
      <c r="BX4" s="19" t="s">
        <v>13</v>
      </c>
    </row>
    <row r="5">
      <c r="A5" s="24">
        <v>1.0</v>
      </c>
      <c r="B5" s="25"/>
      <c r="C5" s="26"/>
      <c r="D5" s="161" t="s">
        <v>16</v>
      </c>
      <c r="E5" s="16" t="s">
        <v>15</v>
      </c>
      <c r="F5" s="16" t="s">
        <v>15</v>
      </c>
      <c r="G5" s="154" t="s">
        <v>15</v>
      </c>
      <c r="H5" s="154" t="s">
        <v>15</v>
      </c>
      <c r="I5" s="154" t="s">
        <v>16</v>
      </c>
      <c r="J5" s="154" t="s">
        <v>15</v>
      </c>
      <c r="K5" s="154" t="s">
        <v>15</v>
      </c>
      <c r="L5" s="154" t="s">
        <v>15</v>
      </c>
      <c r="M5" s="154" t="s">
        <v>16</v>
      </c>
      <c r="N5" s="154" t="s">
        <v>15</v>
      </c>
      <c r="O5" s="16" t="s">
        <v>15</v>
      </c>
      <c r="P5" s="16" t="s">
        <v>15</v>
      </c>
      <c r="Q5" s="16" t="s">
        <v>15</v>
      </c>
      <c r="R5" s="16" t="s">
        <v>15</v>
      </c>
      <c r="S5" s="16" t="s">
        <v>15</v>
      </c>
      <c r="T5" s="16" t="s">
        <v>15</v>
      </c>
      <c r="U5" s="16" t="s">
        <v>15</v>
      </c>
      <c r="V5" s="16" t="s">
        <v>15</v>
      </c>
      <c r="W5" s="16" t="s">
        <v>15</v>
      </c>
      <c r="X5" s="22">
        <f t="shared" ref="X5:X32" si="1">IFERROR(COUNTIF(D5:W5,"P")/(COUNTIF(D5:W5,"P")+COUNTIF(D5:W5,"F")), "0,00%")</f>
        <v>0.85</v>
      </c>
      <c r="Y5" s="16" t="s">
        <v>15</v>
      </c>
      <c r="Z5" s="16" t="s">
        <v>15</v>
      </c>
      <c r="AA5" s="16" t="s">
        <v>16</v>
      </c>
      <c r="AB5" s="16" t="s">
        <v>15</v>
      </c>
      <c r="AC5" s="16" t="s">
        <v>15</v>
      </c>
      <c r="AD5" s="16" t="s">
        <v>15</v>
      </c>
      <c r="AE5" s="16" t="s">
        <v>15</v>
      </c>
      <c r="AF5" s="16" t="s">
        <v>16</v>
      </c>
      <c r="AG5" s="16" t="s">
        <v>15</v>
      </c>
      <c r="AH5" s="16" t="s">
        <v>15</v>
      </c>
      <c r="AI5" s="16" t="s">
        <v>16</v>
      </c>
      <c r="AJ5" s="16" t="s">
        <v>15</v>
      </c>
      <c r="AK5" s="16" t="s">
        <v>15</v>
      </c>
      <c r="AL5" s="16" t="s">
        <v>15</v>
      </c>
      <c r="AM5" s="143" t="s">
        <v>15</v>
      </c>
      <c r="AN5" s="16" t="s">
        <v>16</v>
      </c>
      <c r="AO5" s="16" t="s">
        <v>15</v>
      </c>
      <c r="AP5" s="16" t="s">
        <v>15</v>
      </c>
      <c r="AQ5" s="16" t="s">
        <v>15</v>
      </c>
      <c r="AR5" s="16" t="s">
        <v>15</v>
      </c>
      <c r="AS5" s="22">
        <f t="shared" ref="AS5:AS35" si="2">IFERROR(COUNTIF(Y5:AR5,"P")/(COUNTIF(Y5:AR5,"P")+COUNTIF(Y5:AR5,"F")), "0,00%")</f>
        <v>0.8</v>
      </c>
      <c r="AT5" s="16" t="s">
        <v>15</v>
      </c>
      <c r="AU5" s="16" t="s">
        <v>16</v>
      </c>
      <c r="AV5" s="16" t="s">
        <v>15</v>
      </c>
      <c r="AW5" s="16" t="s">
        <v>16</v>
      </c>
      <c r="AX5" s="16" t="s">
        <v>15</v>
      </c>
      <c r="AY5" s="43" t="s">
        <v>15</v>
      </c>
      <c r="AZ5" s="16" t="s">
        <v>16</v>
      </c>
      <c r="BA5" s="22">
        <f t="shared" ref="BA5:BA32" si="3">IFERROR(COUNTIF(AT5:AZ5,"P")/(COUNTIF(AT5:AZ5,"P")+COUNTIF(AT5:AZ5,"F")), "0,00%")</f>
        <v>0.5714285714</v>
      </c>
      <c r="BB5" s="16" t="s">
        <v>15</v>
      </c>
      <c r="BC5" s="16"/>
      <c r="BD5" s="16"/>
      <c r="BE5" s="16"/>
      <c r="BF5" s="16"/>
      <c r="BG5" s="43" t="s">
        <v>15</v>
      </c>
      <c r="BH5" s="16"/>
      <c r="BI5" s="159" t="s">
        <v>16</v>
      </c>
      <c r="BJ5" s="16"/>
      <c r="BK5" s="159" t="s">
        <v>16</v>
      </c>
      <c r="BL5" s="43" t="s">
        <v>15</v>
      </c>
      <c r="BM5" s="16" t="s">
        <v>15</v>
      </c>
      <c r="BN5" s="166" t="s">
        <v>15</v>
      </c>
      <c r="BO5" s="16" t="s">
        <v>15</v>
      </c>
      <c r="BP5" s="43" t="s">
        <v>15</v>
      </c>
      <c r="BQ5" s="16"/>
      <c r="BR5" s="43" t="s">
        <v>15</v>
      </c>
      <c r="BS5" s="16"/>
      <c r="BT5" s="16"/>
      <c r="BU5" s="16" t="s">
        <v>15</v>
      </c>
      <c r="BV5" s="166" t="s">
        <v>15</v>
      </c>
      <c r="BW5" s="159" t="s">
        <v>16</v>
      </c>
      <c r="BX5" s="22">
        <f t="shared" ref="BX5:BX32" si="4">IFERROR(COUNTIF(BB5:BW5,"P")/(COUNTIF(BB5:BW5,"P")+COUNTIF(BB5:BW5,"F")), "0,00%")</f>
        <v>0.7692307692</v>
      </c>
    </row>
    <row r="6">
      <c r="A6" s="24">
        <v>2.0</v>
      </c>
      <c r="B6" s="46"/>
      <c r="C6" s="26"/>
      <c r="D6" s="16" t="s">
        <v>15</v>
      </c>
      <c r="E6" s="16" t="s">
        <v>15</v>
      </c>
      <c r="F6" s="16" t="s">
        <v>15</v>
      </c>
      <c r="G6" s="154" t="s">
        <v>15</v>
      </c>
      <c r="H6" s="154" t="s">
        <v>15</v>
      </c>
      <c r="I6" s="154" t="s">
        <v>15</v>
      </c>
      <c r="J6" s="154" t="s">
        <v>15</v>
      </c>
      <c r="K6" s="154" t="s">
        <v>16</v>
      </c>
      <c r="L6" s="154" t="s">
        <v>15</v>
      </c>
      <c r="M6" s="154" t="s">
        <v>15</v>
      </c>
      <c r="N6" s="154" t="s">
        <v>15</v>
      </c>
      <c r="O6" s="16" t="s">
        <v>15</v>
      </c>
      <c r="P6" s="16" t="s">
        <v>15</v>
      </c>
      <c r="Q6" s="16" t="s">
        <v>15</v>
      </c>
      <c r="R6" s="16" t="s">
        <v>16</v>
      </c>
      <c r="S6" s="16" t="s">
        <v>15</v>
      </c>
      <c r="T6" s="16" t="s">
        <v>15</v>
      </c>
      <c r="U6" s="16" t="s">
        <v>15</v>
      </c>
      <c r="V6" s="16" t="s">
        <v>15</v>
      </c>
      <c r="W6" s="16" t="s">
        <v>15</v>
      </c>
      <c r="X6" s="22">
        <f t="shared" si="1"/>
        <v>0.9</v>
      </c>
      <c r="Y6" s="16" t="s">
        <v>15</v>
      </c>
      <c r="Z6" s="16" t="s">
        <v>15</v>
      </c>
      <c r="AA6" s="16" t="s">
        <v>16</v>
      </c>
      <c r="AB6" s="16" t="s">
        <v>15</v>
      </c>
      <c r="AC6" s="16" t="s">
        <v>15</v>
      </c>
      <c r="AD6" s="16" t="s">
        <v>15</v>
      </c>
      <c r="AE6" s="16" t="s">
        <v>15</v>
      </c>
      <c r="AF6" s="16" t="s">
        <v>16</v>
      </c>
      <c r="AG6" s="16" t="s">
        <v>15</v>
      </c>
      <c r="AH6" s="16" t="s">
        <v>15</v>
      </c>
      <c r="AI6" s="16" t="s">
        <v>16</v>
      </c>
      <c r="AJ6" s="16" t="s">
        <v>15</v>
      </c>
      <c r="AK6" s="16" t="s">
        <v>15</v>
      </c>
      <c r="AL6" s="16" t="s">
        <v>16</v>
      </c>
      <c r="AM6" s="143" t="s">
        <v>15</v>
      </c>
      <c r="AN6" s="16" t="s">
        <v>15</v>
      </c>
      <c r="AO6" s="16" t="s">
        <v>15</v>
      </c>
      <c r="AP6" s="16" t="s">
        <v>16</v>
      </c>
      <c r="AQ6" s="16" t="s">
        <v>15</v>
      </c>
      <c r="AR6" s="16" t="s">
        <v>16</v>
      </c>
      <c r="AS6" s="22">
        <f t="shared" si="2"/>
        <v>0.7</v>
      </c>
      <c r="AT6" s="16" t="s">
        <v>15</v>
      </c>
      <c r="AU6" s="16" t="s">
        <v>16</v>
      </c>
      <c r="AV6" s="16" t="s">
        <v>15</v>
      </c>
      <c r="AW6" s="16" t="s">
        <v>15</v>
      </c>
      <c r="AX6" s="16" t="s">
        <v>15</v>
      </c>
      <c r="AY6" s="43" t="s">
        <v>15</v>
      </c>
      <c r="AZ6" s="16" t="s">
        <v>16</v>
      </c>
      <c r="BA6" s="22">
        <f t="shared" si="3"/>
        <v>0.7142857143</v>
      </c>
      <c r="BB6" s="16" t="s">
        <v>15</v>
      </c>
      <c r="BC6" s="16"/>
      <c r="BD6" s="16"/>
      <c r="BE6" s="16"/>
      <c r="BF6" s="16"/>
      <c r="BG6" s="71" t="s">
        <v>15</v>
      </c>
      <c r="BH6" s="16"/>
      <c r="BI6" s="71" t="s">
        <v>15</v>
      </c>
      <c r="BJ6" s="21"/>
      <c r="BK6" s="51" t="s">
        <v>16</v>
      </c>
      <c r="BL6" s="65" t="s">
        <v>15</v>
      </c>
      <c r="BM6" s="16" t="s">
        <v>15</v>
      </c>
      <c r="BN6" s="169" t="s">
        <v>16</v>
      </c>
      <c r="BO6" s="16" t="s">
        <v>15</v>
      </c>
      <c r="BP6" s="60" t="s">
        <v>15</v>
      </c>
      <c r="BQ6" s="21"/>
      <c r="BR6" s="43" t="s">
        <v>15</v>
      </c>
      <c r="BS6" s="21"/>
      <c r="BT6" s="21"/>
      <c r="BU6" s="16" t="s">
        <v>15</v>
      </c>
      <c r="BV6" s="170" t="s">
        <v>15</v>
      </c>
      <c r="BW6" s="77" t="s">
        <v>16</v>
      </c>
      <c r="BX6" s="22">
        <f t="shared" si="4"/>
        <v>0.7692307692</v>
      </c>
    </row>
    <row r="7">
      <c r="A7" s="24">
        <v>3.0</v>
      </c>
      <c r="B7" s="62"/>
      <c r="C7" s="58"/>
      <c r="D7" s="171" t="s">
        <v>15</v>
      </c>
      <c r="E7" s="16" t="s">
        <v>15</v>
      </c>
      <c r="F7" s="16" t="s">
        <v>16</v>
      </c>
      <c r="G7" s="154" t="s">
        <v>16</v>
      </c>
      <c r="H7" s="154" t="s">
        <v>15</v>
      </c>
      <c r="I7" s="154" t="s">
        <v>15</v>
      </c>
      <c r="J7" s="154" t="s">
        <v>15</v>
      </c>
      <c r="K7" s="154" t="s">
        <v>15</v>
      </c>
      <c r="L7" s="154" t="s">
        <v>15</v>
      </c>
      <c r="M7" s="154" t="s">
        <v>15</v>
      </c>
      <c r="N7" s="154" t="s">
        <v>15</v>
      </c>
      <c r="O7" s="16" t="s">
        <v>15</v>
      </c>
      <c r="P7" s="16" t="s">
        <v>15</v>
      </c>
      <c r="Q7" s="16" t="s">
        <v>15</v>
      </c>
      <c r="R7" s="16" t="s">
        <v>15</v>
      </c>
      <c r="S7" s="16" t="s">
        <v>15</v>
      </c>
      <c r="T7" s="16" t="s">
        <v>15</v>
      </c>
      <c r="U7" s="16" t="s">
        <v>15</v>
      </c>
      <c r="V7" s="16" t="s">
        <v>15</v>
      </c>
      <c r="W7" s="16" t="s">
        <v>15</v>
      </c>
      <c r="X7" s="22">
        <f t="shared" si="1"/>
        <v>0.9</v>
      </c>
      <c r="Y7" s="16" t="s">
        <v>15</v>
      </c>
      <c r="Z7" s="16" t="s">
        <v>15</v>
      </c>
      <c r="AA7" s="16" t="s">
        <v>16</v>
      </c>
      <c r="AB7" s="16" t="s">
        <v>15</v>
      </c>
      <c r="AC7" s="16" t="s">
        <v>15</v>
      </c>
      <c r="AD7" s="16" t="s">
        <v>15</v>
      </c>
      <c r="AE7" s="16" t="s">
        <v>15</v>
      </c>
      <c r="AF7" s="16" t="s">
        <v>15</v>
      </c>
      <c r="AG7" s="16" t="s">
        <v>16</v>
      </c>
      <c r="AH7" s="16" t="s">
        <v>15</v>
      </c>
      <c r="AI7" s="16" t="s">
        <v>15</v>
      </c>
      <c r="AJ7" s="16" t="s">
        <v>15</v>
      </c>
      <c r="AK7" s="16" t="s">
        <v>15</v>
      </c>
      <c r="AL7" s="16" t="s">
        <v>15</v>
      </c>
      <c r="AM7" s="143" t="s">
        <v>15</v>
      </c>
      <c r="AN7" s="16" t="s">
        <v>15</v>
      </c>
      <c r="AO7" s="16" t="s">
        <v>16</v>
      </c>
      <c r="AP7" s="16" t="s">
        <v>16</v>
      </c>
      <c r="AQ7" s="16" t="s">
        <v>15</v>
      </c>
      <c r="AR7" s="16" t="s">
        <v>15</v>
      </c>
      <c r="AS7" s="22">
        <f t="shared" si="2"/>
        <v>0.8</v>
      </c>
      <c r="AT7" s="16" t="s">
        <v>15</v>
      </c>
      <c r="AU7" s="16" t="s">
        <v>15</v>
      </c>
      <c r="AV7" s="16" t="s">
        <v>16</v>
      </c>
      <c r="AW7" s="16" t="s">
        <v>15</v>
      </c>
      <c r="AX7" s="16" t="s">
        <v>15</v>
      </c>
      <c r="AY7" s="159" t="s">
        <v>16</v>
      </c>
      <c r="AZ7" s="16" t="s">
        <v>15</v>
      </c>
      <c r="BA7" s="22">
        <f t="shared" si="3"/>
        <v>0.7142857143</v>
      </c>
      <c r="BB7" s="16" t="s">
        <v>15</v>
      </c>
      <c r="BC7" s="16"/>
      <c r="BD7" s="16"/>
      <c r="BE7" s="16"/>
      <c r="BF7" s="16"/>
      <c r="BG7" s="85" t="s">
        <v>16</v>
      </c>
      <c r="BH7" s="16"/>
      <c r="BI7" s="71" t="s">
        <v>15</v>
      </c>
      <c r="BJ7" s="21"/>
      <c r="BK7" s="65" t="s">
        <v>15</v>
      </c>
      <c r="BL7" s="65" t="s">
        <v>15</v>
      </c>
      <c r="BM7" s="16" t="s">
        <v>15</v>
      </c>
      <c r="BN7" s="170" t="s">
        <v>15</v>
      </c>
      <c r="BO7" s="16" t="s">
        <v>16</v>
      </c>
      <c r="BP7" s="60" t="s">
        <v>15</v>
      </c>
      <c r="BQ7" s="21"/>
      <c r="BR7" s="43" t="s">
        <v>15</v>
      </c>
      <c r="BS7" s="21"/>
      <c r="BT7" s="21"/>
      <c r="BU7" s="16" t="s">
        <v>15</v>
      </c>
      <c r="BV7" s="170" t="s">
        <v>15</v>
      </c>
      <c r="BW7" s="60" t="s">
        <v>15</v>
      </c>
      <c r="BX7" s="22">
        <f t="shared" si="4"/>
        <v>0.8461538462</v>
      </c>
    </row>
    <row r="8">
      <c r="A8" s="24">
        <v>4.0</v>
      </c>
      <c r="B8" s="81"/>
      <c r="C8" s="58"/>
      <c r="D8" s="171" t="s">
        <v>15</v>
      </c>
      <c r="E8" s="16" t="s">
        <v>15</v>
      </c>
      <c r="F8" s="16" t="s">
        <v>15</v>
      </c>
      <c r="G8" s="154" t="s">
        <v>15</v>
      </c>
      <c r="H8" s="154" t="s">
        <v>16</v>
      </c>
      <c r="I8" s="154" t="s">
        <v>15</v>
      </c>
      <c r="J8" s="154" t="s">
        <v>15</v>
      </c>
      <c r="K8" s="154" t="s">
        <v>15</v>
      </c>
      <c r="L8" s="154" t="s">
        <v>16</v>
      </c>
      <c r="M8" s="154" t="s">
        <v>15</v>
      </c>
      <c r="N8" s="154" t="s">
        <v>15</v>
      </c>
      <c r="O8" s="16" t="s">
        <v>15</v>
      </c>
      <c r="P8" s="16" t="s">
        <v>15</v>
      </c>
      <c r="Q8" s="16" t="s">
        <v>15</v>
      </c>
      <c r="R8" s="16" t="s">
        <v>15</v>
      </c>
      <c r="S8" s="16" t="s">
        <v>16</v>
      </c>
      <c r="T8" s="16" t="s">
        <v>15</v>
      </c>
      <c r="U8" s="16" t="s">
        <v>15</v>
      </c>
      <c r="V8" s="16" t="s">
        <v>15</v>
      </c>
      <c r="W8" s="16" t="s">
        <v>16</v>
      </c>
      <c r="X8" s="22">
        <f t="shared" si="1"/>
        <v>0.8</v>
      </c>
      <c r="Y8" s="16" t="s">
        <v>15</v>
      </c>
      <c r="Z8" s="16" t="s">
        <v>15</v>
      </c>
      <c r="AA8" s="16" t="s">
        <v>15</v>
      </c>
      <c r="AB8" s="16" t="s">
        <v>15</v>
      </c>
      <c r="AC8" s="16" t="s">
        <v>15</v>
      </c>
      <c r="AD8" s="16" t="s">
        <v>15</v>
      </c>
      <c r="AE8" s="16" t="s">
        <v>15</v>
      </c>
      <c r="AF8" s="16" t="s">
        <v>15</v>
      </c>
      <c r="AG8" s="16" t="s">
        <v>15</v>
      </c>
      <c r="AH8" s="16" t="s">
        <v>15</v>
      </c>
      <c r="AI8" s="16" t="s">
        <v>15</v>
      </c>
      <c r="AJ8" s="16" t="s">
        <v>15</v>
      </c>
      <c r="AK8" s="16" t="s">
        <v>15</v>
      </c>
      <c r="AL8" s="16" t="s">
        <v>16</v>
      </c>
      <c r="AM8" s="143" t="s">
        <v>15</v>
      </c>
      <c r="AN8" s="16" t="s">
        <v>15</v>
      </c>
      <c r="AO8" s="16" t="s">
        <v>15</v>
      </c>
      <c r="AP8" s="16" t="s">
        <v>15</v>
      </c>
      <c r="AQ8" s="16" t="s">
        <v>15</v>
      </c>
      <c r="AR8" s="16" t="s">
        <v>15</v>
      </c>
      <c r="AS8" s="22">
        <f t="shared" si="2"/>
        <v>0.95</v>
      </c>
      <c r="AT8" s="16" t="s">
        <v>16</v>
      </c>
      <c r="AU8" s="16" t="s">
        <v>16</v>
      </c>
      <c r="AV8" s="16" t="s">
        <v>15</v>
      </c>
      <c r="AW8" s="16" t="s">
        <v>15</v>
      </c>
      <c r="AX8" s="16" t="s">
        <v>15</v>
      </c>
      <c r="AY8" s="43" t="s">
        <v>15</v>
      </c>
      <c r="AZ8" s="16" t="s">
        <v>15</v>
      </c>
      <c r="BA8" s="22">
        <f t="shared" si="3"/>
        <v>0.7142857143</v>
      </c>
      <c r="BB8" s="16" t="s">
        <v>15</v>
      </c>
      <c r="BC8" s="16"/>
      <c r="BD8" s="16"/>
      <c r="BE8" s="16"/>
      <c r="BF8" s="16"/>
      <c r="BG8" s="71" t="s">
        <v>15</v>
      </c>
      <c r="BH8" s="16"/>
      <c r="BI8" s="71" t="s">
        <v>15</v>
      </c>
      <c r="BJ8" s="21"/>
      <c r="BK8" s="65" t="s">
        <v>15</v>
      </c>
      <c r="BL8" s="65" t="s">
        <v>15</v>
      </c>
      <c r="BM8" s="16" t="s">
        <v>15</v>
      </c>
      <c r="BN8" s="170" t="s">
        <v>15</v>
      </c>
      <c r="BO8" s="16" t="s">
        <v>15</v>
      </c>
      <c r="BP8" s="60" t="s">
        <v>15</v>
      </c>
      <c r="BQ8" s="21"/>
      <c r="BR8" s="43" t="s">
        <v>15</v>
      </c>
      <c r="BS8" s="21"/>
      <c r="BT8" s="21"/>
      <c r="BU8" s="16" t="s">
        <v>15</v>
      </c>
      <c r="BV8" s="170" t="s">
        <v>15</v>
      </c>
      <c r="BW8" s="77" t="s">
        <v>16</v>
      </c>
      <c r="BX8" s="22">
        <f t="shared" si="4"/>
        <v>0.9230769231</v>
      </c>
    </row>
    <row r="9">
      <c r="A9" s="24">
        <v>5.0</v>
      </c>
      <c r="B9" s="62"/>
      <c r="C9" s="58"/>
      <c r="D9" s="171" t="s">
        <v>15</v>
      </c>
      <c r="E9" s="16" t="s">
        <v>15</v>
      </c>
      <c r="F9" s="16" t="s">
        <v>15</v>
      </c>
      <c r="G9" s="16" t="s">
        <v>15</v>
      </c>
      <c r="H9" s="16" t="s">
        <v>16</v>
      </c>
      <c r="I9" s="154" t="s">
        <v>16</v>
      </c>
      <c r="J9" s="154" t="s">
        <v>15</v>
      </c>
      <c r="K9" s="154" t="s">
        <v>15</v>
      </c>
      <c r="L9" s="154" t="s">
        <v>15</v>
      </c>
      <c r="M9" s="154" t="s">
        <v>15</v>
      </c>
      <c r="N9" s="154" t="s">
        <v>15</v>
      </c>
      <c r="O9" s="16" t="s">
        <v>16</v>
      </c>
      <c r="P9" s="16" t="s">
        <v>15</v>
      </c>
      <c r="Q9" s="16" t="s">
        <v>15</v>
      </c>
      <c r="R9" s="16" t="s">
        <v>15</v>
      </c>
      <c r="S9" s="16" t="s">
        <v>15</v>
      </c>
      <c r="T9" s="16" t="s">
        <v>15</v>
      </c>
      <c r="U9" s="16" t="s">
        <v>15</v>
      </c>
      <c r="V9" s="16" t="s">
        <v>15</v>
      </c>
      <c r="W9" s="16" t="s">
        <v>16</v>
      </c>
      <c r="X9" s="22">
        <f t="shared" si="1"/>
        <v>0.8</v>
      </c>
      <c r="Y9" s="16" t="s">
        <v>15</v>
      </c>
      <c r="Z9" s="16" t="s">
        <v>15</v>
      </c>
      <c r="AA9" s="16" t="s">
        <v>15</v>
      </c>
      <c r="AB9" s="16" t="s">
        <v>16</v>
      </c>
      <c r="AC9" s="16" t="s">
        <v>15</v>
      </c>
      <c r="AD9" s="16" t="s">
        <v>16</v>
      </c>
      <c r="AE9" s="16" t="s">
        <v>15</v>
      </c>
      <c r="AF9" s="16" t="s">
        <v>15</v>
      </c>
      <c r="AG9" s="16" t="s">
        <v>15</v>
      </c>
      <c r="AH9" s="16" t="s">
        <v>15</v>
      </c>
      <c r="AI9" s="16" t="s">
        <v>15</v>
      </c>
      <c r="AJ9" s="16" t="s">
        <v>16</v>
      </c>
      <c r="AK9" s="16" t="s">
        <v>15</v>
      </c>
      <c r="AL9" s="16" t="s">
        <v>15</v>
      </c>
      <c r="AM9" s="143" t="s">
        <v>15</v>
      </c>
      <c r="AN9" s="16" t="s">
        <v>15</v>
      </c>
      <c r="AO9" s="16" t="s">
        <v>16</v>
      </c>
      <c r="AP9" s="16" t="s">
        <v>15</v>
      </c>
      <c r="AQ9" s="16" t="s">
        <v>15</v>
      </c>
      <c r="AR9" s="16" t="s">
        <v>15</v>
      </c>
      <c r="AS9" s="22">
        <f t="shared" si="2"/>
        <v>0.8</v>
      </c>
      <c r="AT9" s="16" t="s">
        <v>15</v>
      </c>
      <c r="AU9" s="16" t="s">
        <v>15</v>
      </c>
      <c r="AV9" s="16" t="s">
        <v>16</v>
      </c>
      <c r="AW9" s="16" t="s">
        <v>16</v>
      </c>
      <c r="AX9" s="16" t="s">
        <v>15</v>
      </c>
      <c r="AY9" s="159" t="s">
        <v>16</v>
      </c>
      <c r="AZ9" s="16" t="s">
        <v>15</v>
      </c>
      <c r="BA9" s="22">
        <f t="shared" si="3"/>
        <v>0.5714285714</v>
      </c>
      <c r="BB9" s="16" t="s">
        <v>16</v>
      </c>
      <c r="BC9" s="16"/>
      <c r="BD9" s="16"/>
      <c r="BE9" s="16"/>
      <c r="BF9" s="16"/>
      <c r="BG9" s="71" t="s">
        <v>15</v>
      </c>
      <c r="BH9" s="16"/>
      <c r="BI9" s="71" t="s">
        <v>15</v>
      </c>
      <c r="BJ9" s="21"/>
      <c r="BK9" s="65" t="s">
        <v>15</v>
      </c>
      <c r="BL9" s="65" t="s">
        <v>15</v>
      </c>
      <c r="BM9" s="16" t="s">
        <v>15</v>
      </c>
      <c r="BN9" s="170" t="s">
        <v>15</v>
      </c>
      <c r="BO9" s="16" t="s">
        <v>15</v>
      </c>
      <c r="BP9" s="77" t="s">
        <v>16</v>
      </c>
      <c r="BQ9" s="21"/>
      <c r="BR9" s="43" t="s">
        <v>15</v>
      </c>
      <c r="BS9" s="21"/>
      <c r="BT9" s="21"/>
      <c r="BU9" s="16" t="s">
        <v>15</v>
      </c>
      <c r="BV9" s="169" t="s">
        <v>16</v>
      </c>
      <c r="BW9" s="77" t="s">
        <v>16</v>
      </c>
      <c r="BX9" s="22">
        <f t="shared" si="4"/>
        <v>0.6923076923</v>
      </c>
    </row>
    <row r="10">
      <c r="A10" s="24">
        <v>6.0</v>
      </c>
      <c r="B10" s="81"/>
      <c r="C10" s="58"/>
      <c r="D10" s="171" t="s">
        <v>15</v>
      </c>
      <c r="E10" s="16" t="s">
        <v>15</v>
      </c>
      <c r="F10" s="16" t="s">
        <v>15</v>
      </c>
      <c r="G10" s="16" t="s">
        <v>16</v>
      </c>
      <c r="H10" s="16" t="s">
        <v>16</v>
      </c>
      <c r="I10" s="154" t="s">
        <v>16</v>
      </c>
      <c r="J10" s="154" t="s">
        <v>15</v>
      </c>
      <c r="K10" s="154" t="s">
        <v>16</v>
      </c>
      <c r="L10" s="154" t="s">
        <v>15</v>
      </c>
      <c r="M10" s="154" t="s">
        <v>15</v>
      </c>
      <c r="N10" s="154" t="s">
        <v>15</v>
      </c>
      <c r="O10" s="16" t="s">
        <v>15</v>
      </c>
      <c r="P10" s="16" t="s">
        <v>15</v>
      </c>
      <c r="Q10" s="16" t="s">
        <v>16</v>
      </c>
      <c r="R10" s="16" t="s">
        <v>15</v>
      </c>
      <c r="S10" s="16" t="s">
        <v>15</v>
      </c>
      <c r="T10" s="16" t="s">
        <v>15</v>
      </c>
      <c r="U10" s="16" t="s">
        <v>15</v>
      </c>
      <c r="V10" s="16" t="s">
        <v>15</v>
      </c>
      <c r="W10" s="16" t="s">
        <v>15</v>
      </c>
      <c r="X10" s="22">
        <f t="shared" si="1"/>
        <v>0.75</v>
      </c>
      <c r="Y10" s="16" t="s">
        <v>16</v>
      </c>
      <c r="Z10" s="16" t="s">
        <v>15</v>
      </c>
      <c r="AA10" s="16" t="s">
        <v>16</v>
      </c>
      <c r="AB10" s="16" t="s">
        <v>15</v>
      </c>
      <c r="AC10" s="16" t="s">
        <v>15</v>
      </c>
      <c r="AD10" s="16" t="s">
        <v>15</v>
      </c>
      <c r="AE10" s="16" t="s">
        <v>15</v>
      </c>
      <c r="AF10" s="16" t="s">
        <v>16</v>
      </c>
      <c r="AG10" s="16" t="s">
        <v>16</v>
      </c>
      <c r="AH10" s="16" t="s">
        <v>15</v>
      </c>
      <c r="AI10" s="16" t="s">
        <v>15</v>
      </c>
      <c r="AJ10" s="16" t="s">
        <v>16</v>
      </c>
      <c r="AK10" s="16" t="s">
        <v>15</v>
      </c>
      <c r="AL10" s="16" t="s">
        <v>16</v>
      </c>
      <c r="AM10" s="16" t="s">
        <v>16</v>
      </c>
      <c r="AN10" s="16" t="s">
        <v>15</v>
      </c>
      <c r="AO10" s="16" t="s">
        <v>15</v>
      </c>
      <c r="AP10" s="16" t="s">
        <v>16</v>
      </c>
      <c r="AQ10" s="16" t="s">
        <v>15</v>
      </c>
      <c r="AR10" s="16" t="s">
        <v>16</v>
      </c>
      <c r="AS10" s="22">
        <f t="shared" si="2"/>
        <v>0.55</v>
      </c>
      <c r="AT10" s="16" t="s">
        <v>16</v>
      </c>
      <c r="AU10" s="16" t="s">
        <v>16</v>
      </c>
      <c r="AV10" s="16" t="s">
        <v>15</v>
      </c>
      <c r="AW10" s="16" t="s">
        <v>16</v>
      </c>
      <c r="AX10" s="16" t="s">
        <v>16</v>
      </c>
      <c r="AY10" s="43" t="s">
        <v>15</v>
      </c>
      <c r="AZ10" s="16" t="s">
        <v>15</v>
      </c>
      <c r="BA10" s="22">
        <f t="shared" si="3"/>
        <v>0.4285714286</v>
      </c>
      <c r="BB10" s="16" t="s">
        <v>15</v>
      </c>
      <c r="BC10" s="16"/>
      <c r="BD10" s="16"/>
      <c r="BE10" s="16"/>
      <c r="BF10" s="16"/>
      <c r="BG10" s="71" t="s">
        <v>15</v>
      </c>
      <c r="BH10" s="16"/>
      <c r="BI10" s="71" t="s">
        <v>15</v>
      </c>
      <c r="BJ10" s="21"/>
      <c r="BK10" s="65" t="s">
        <v>15</v>
      </c>
      <c r="BL10" s="65" t="s">
        <v>15</v>
      </c>
      <c r="BM10" s="16" t="s">
        <v>15</v>
      </c>
      <c r="BN10" s="170" t="s">
        <v>15</v>
      </c>
      <c r="BO10" s="16" t="s">
        <v>15</v>
      </c>
      <c r="BP10" s="60" t="s">
        <v>15</v>
      </c>
      <c r="BQ10" s="21"/>
      <c r="BR10" s="43" t="s">
        <v>15</v>
      </c>
      <c r="BS10" s="21"/>
      <c r="BT10" s="21"/>
      <c r="BU10" s="16" t="s">
        <v>15</v>
      </c>
      <c r="BV10" s="169" t="s">
        <v>16</v>
      </c>
      <c r="BW10" s="77" t="s">
        <v>16</v>
      </c>
      <c r="BX10" s="22">
        <f t="shared" si="4"/>
        <v>0.8461538462</v>
      </c>
    </row>
    <row r="11">
      <c r="A11" s="24">
        <v>7.0</v>
      </c>
      <c r="B11" s="81"/>
      <c r="C11" s="58"/>
      <c r="D11" s="171" t="s">
        <v>15</v>
      </c>
      <c r="E11" s="16" t="s">
        <v>15</v>
      </c>
      <c r="F11" s="16" t="s">
        <v>15</v>
      </c>
      <c r="G11" s="16" t="s">
        <v>15</v>
      </c>
      <c r="H11" s="154" t="s">
        <v>15</v>
      </c>
      <c r="I11" s="154" t="s">
        <v>15</v>
      </c>
      <c r="J11" s="154" t="s">
        <v>15</v>
      </c>
      <c r="K11" s="154" t="s">
        <v>15</v>
      </c>
      <c r="L11" s="154" t="s">
        <v>15</v>
      </c>
      <c r="M11" s="154" t="s">
        <v>15</v>
      </c>
      <c r="N11" s="154" t="s">
        <v>15</v>
      </c>
      <c r="O11" s="16" t="s">
        <v>15</v>
      </c>
      <c r="P11" s="16" t="s">
        <v>15</v>
      </c>
      <c r="Q11" s="16" t="s">
        <v>15</v>
      </c>
      <c r="R11" s="16" t="s">
        <v>15</v>
      </c>
      <c r="S11" s="16" t="s">
        <v>16</v>
      </c>
      <c r="T11" s="16" t="s">
        <v>15</v>
      </c>
      <c r="U11" s="16" t="s">
        <v>15</v>
      </c>
      <c r="V11" s="16" t="s">
        <v>15</v>
      </c>
      <c r="W11" s="16" t="s">
        <v>15</v>
      </c>
      <c r="X11" s="22">
        <f t="shared" si="1"/>
        <v>0.95</v>
      </c>
      <c r="Y11" s="16" t="s">
        <v>15</v>
      </c>
      <c r="Z11" s="16" t="s">
        <v>15</v>
      </c>
      <c r="AA11" s="16" t="s">
        <v>15</v>
      </c>
      <c r="AB11" s="16" t="s">
        <v>15</v>
      </c>
      <c r="AC11" s="16" t="s">
        <v>15</v>
      </c>
      <c r="AD11" s="16" t="s">
        <v>15</v>
      </c>
      <c r="AE11" s="16" t="s">
        <v>15</v>
      </c>
      <c r="AF11" s="16" t="s">
        <v>15</v>
      </c>
      <c r="AG11" s="16" t="s">
        <v>15</v>
      </c>
      <c r="AH11" s="16" t="s">
        <v>15</v>
      </c>
      <c r="AI11" s="16" t="s">
        <v>15</v>
      </c>
      <c r="AJ11" s="16" t="s">
        <v>15</v>
      </c>
      <c r="AK11" s="16" t="s">
        <v>16</v>
      </c>
      <c r="AL11" s="16" t="s">
        <v>15</v>
      </c>
      <c r="AM11" s="143" t="s">
        <v>15</v>
      </c>
      <c r="AN11" s="16" t="s">
        <v>15</v>
      </c>
      <c r="AO11" s="16" t="s">
        <v>15</v>
      </c>
      <c r="AP11" s="16" t="s">
        <v>15</v>
      </c>
      <c r="AQ11" s="16" t="s">
        <v>15</v>
      </c>
      <c r="AR11" s="16" t="s">
        <v>15</v>
      </c>
      <c r="AS11" s="22">
        <f t="shared" si="2"/>
        <v>0.95</v>
      </c>
      <c r="AT11" s="16" t="s">
        <v>15</v>
      </c>
      <c r="AU11" s="16" t="s">
        <v>15</v>
      </c>
      <c r="AV11" s="16" t="s">
        <v>15</v>
      </c>
      <c r="AW11" s="16" t="s">
        <v>15</v>
      </c>
      <c r="AX11" s="16" t="s">
        <v>15</v>
      </c>
      <c r="AY11" s="43" t="s">
        <v>15</v>
      </c>
      <c r="AZ11" s="16" t="s">
        <v>15</v>
      </c>
      <c r="BA11" s="22">
        <f t="shared" si="3"/>
        <v>1</v>
      </c>
      <c r="BB11" s="16" t="s">
        <v>15</v>
      </c>
      <c r="BC11" s="16"/>
      <c r="BD11" s="16"/>
      <c r="BE11" s="16"/>
      <c r="BF11" s="16"/>
      <c r="BG11" s="71" t="s">
        <v>15</v>
      </c>
      <c r="BH11" s="16"/>
      <c r="BI11" s="71" t="s">
        <v>15</v>
      </c>
      <c r="BJ11" s="16"/>
      <c r="BK11" s="71" t="s">
        <v>15</v>
      </c>
      <c r="BL11" s="71" t="s">
        <v>15</v>
      </c>
      <c r="BM11" s="16" t="s">
        <v>15</v>
      </c>
      <c r="BN11" s="162" t="s">
        <v>15</v>
      </c>
      <c r="BO11" s="16" t="s">
        <v>15</v>
      </c>
      <c r="BP11" s="43" t="s">
        <v>15</v>
      </c>
      <c r="BQ11" s="16"/>
      <c r="BR11" s="43" t="s">
        <v>15</v>
      </c>
      <c r="BS11" s="16"/>
      <c r="BT11" s="16"/>
      <c r="BU11" s="16" t="s">
        <v>15</v>
      </c>
      <c r="BV11" s="162" t="s">
        <v>15</v>
      </c>
      <c r="BW11" s="159" t="s">
        <v>16</v>
      </c>
      <c r="BX11" s="22">
        <f t="shared" si="4"/>
        <v>0.9230769231</v>
      </c>
    </row>
    <row r="12">
      <c r="A12" s="24">
        <v>8.0</v>
      </c>
      <c r="B12" s="57"/>
      <c r="C12" s="58"/>
      <c r="D12" s="16" t="s">
        <v>16</v>
      </c>
      <c r="E12" s="16" t="s">
        <v>15</v>
      </c>
      <c r="F12" s="16" t="s">
        <v>15</v>
      </c>
      <c r="G12" s="154" t="s">
        <v>15</v>
      </c>
      <c r="H12" s="154" t="s">
        <v>15</v>
      </c>
      <c r="I12" s="154" t="s">
        <v>15</v>
      </c>
      <c r="J12" s="154" t="s">
        <v>15</v>
      </c>
      <c r="K12" s="154" t="s">
        <v>15</v>
      </c>
      <c r="L12" s="154" t="s">
        <v>15</v>
      </c>
      <c r="M12" s="154" t="s">
        <v>15</v>
      </c>
      <c r="N12" s="154" t="s">
        <v>15</v>
      </c>
      <c r="O12" s="16" t="s">
        <v>15</v>
      </c>
      <c r="P12" s="16" t="s">
        <v>15</v>
      </c>
      <c r="Q12" s="16" t="s">
        <v>16</v>
      </c>
      <c r="R12" s="16" t="s">
        <v>15</v>
      </c>
      <c r="S12" s="16" t="s">
        <v>15</v>
      </c>
      <c r="T12" s="16" t="s">
        <v>15</v>
      </c>
      <c r="U12" s="16" t="s">
        <v>15</v>
      </c>
      <c r="V12" s="16" t="s">
        <v>15</v>
      </c>
      <c r="W12" s="16" t="s">
        <v>15</v>
      </c>
      <c r="X12" s="22">
        <f t="shared" si="1"/>
        <v>0.9</v>
      </c>
      <c r="Y12" s="16" t="s">
        <v>15</v>
      </c>
      <c r="Z12" s="16" t="s">
        <v>15</v>
      </c>
      <c r="AA12" s="16" t="s">
        <v>15</v>
      </c>
      <c r="AB12" s="16" t="s">
        <v>15</v>
      </c>
      <c r="AC12" s="16" t="s">
        <v>15</v>
      </c>
      <c r="AD12" s="16" t="s">
        <v>15</v>
      </c>
      <c r="AE12" s="16" t="s">
        <v>15</v>
      </c>
      <c r="AF12" s="16" t="s">
        <v>15</v>
      </c>
      <c r="AG12" s="16" t="s">
        <v>15</v>
      </c>
      <c r="AH12" s="16" t="s">
        <v>16</v>
      </c>
      <c r="AI12" s="16" t="s">
        <v>15</v>
      </c>
      <c r="AJ12" s="16" t="s">
        <v>15</v>
      </c>
      <c r="AK12" s="16" t="s">
        <v>15</v>
      </c>
      <c r="AL12" s="16" t="s">
        <v>15</v>
      </c>
      <c r="AM12" s="143" t="s">
        <v>15</v>
      </c>
      <c r="AN12" s="16" t="s">
        <v>15</v>
      </c>
      <c r="AO12" s="16" t="s">
        <v>15</v>
      </c>
      <c r="AP12" s="16" t="s">
        <v>16</v>
      </c>
      <c r="AQ12" s="16" t="s">
        <v>15</v>
      </c>
      <c r="AR12" s="16" t="s">
        <v>16</v>
      </c>
      <c r="AS12" s="22">
        <f t="shared" si="2"/>
        <v>0.85</v>
      </c>
      <c r="AT12" s="16" t="s">
        <v>15</v>
      </c>
      <c r="AU12" s="16" t="s">
        <v>16</v>
      </c>
      <c r="AV12" s="16" t="s">
        <v>15</v>
      </c>
      <c r="AW12" s="16" t="s">
        <v>15</v>
      </c>
      <c r="AX12" s="16" t="s">
        <v>15</v>
      </c>
      <c r="AY12" s="159" t="s">
        <v>16</v>
      </c>
      <c r="AZ12" s="16" t="s">
        <v>15</v>
      </c>
      <c r="BA12" s="22">
        <f t="shared" si="3"/>
        <v>0.7142857143</v>
      </c>
      <c r="BB12" s="16" t="s">
        <v>15</v>
      </c>
      <c r="BC12" s="16"/>
      <c r="BD12" s="16"/>
      <c r="BE12" s="16"/>
      <c r="BF12" s="16"/>
      <c r="BG12" s="71" t="s">
        <v>15</v>
      </c>
      <c r="BH12" s="16"/>
      <c r="BI12" s="71" t="s">
        <v>15</v>
      </c>
      <c r="BJ12" s="21"/>
      <c r="BK12" s="65" t="s">
        <v>15</v>
      </c>
      <c r="BL12" s="65" t="s">
        <v>15</v>
      </c>
      <c r="BM12" s="16" t="s">
        <v>15</v>
      </c>
      <c r="BN12" s="170" t="s">
        <v>15</v>
      </c>
      <c r="BO12" s="16" t="s">
        <v>15</v>
      </c>
      <c r="BP12" s="60" t="s">
        <v>15</v>
      </c>
      <c r="BQ12" s="21"/>
      <c r="BR12" s="43" t="s">
        <v>15</v>
      </c>
      <c r="BS12" s="21"/>
      <c r="BT12" s="21"/>
      <c r="BU12" s="16" t="s">
        <v>15</v>
      </c>
      <c r="BV12" s="170" t="s">
        <v>15</v>
      </c>
      <c r="BW12" s="77" t="s">
        <v>16</v>
      </c>
      <c r="BX12" s="22">
        <f t="shared" si="4"/>
        <v>0.9230769231</v>
      </c>
    </row>
    <row r="13">
      <c r="A13" s="24">
        <v>9.0</v>
      </c>
      <c r="B13" s="62"/>
      <c r="C13" s="58"/>
      <c r="D13" s="171" t="s">
        <v>15</v>
      </c>
      <c r="E13" s="16" t="s">
        <v>15</v>
      </c>
      <c r="F13" s="16" t="s">
        <v>15</v>
      </c>
      <c r="G13" s="154" t="s">
        <v>15</v>
      </c>
      <c r="H13" s="154" t="s">
        <v>15</v>
      </c>
      <c r="I13" s="154" t="s">
        <v>15</v>
      </c>
      <c r="J13" s="154" t="s">
        <v>15</v>
      </c>
      <c r="K13" s="154" t="s">
        <v>15</v>
      </c>
      <c r="L13" s="154" t="s">
        <v>15</v>
      </c>
      <c r="M13" s="154" t="s">
        <v>15</v>
      </c>
      <c r="N13" s="154" t="s">
        <v>15</v>
      </c>
      <c r="O13" s="16" t="s">
        <v>15</v>
      </c>
      <c r="P13" s="16" t="s">
        <v>15</v>
      </c>
      <c r="Q13" s="16" t="s">
        <v>15</v>
      </c>
      <c r="R13" s="16" t="s">
        <v>15</v>
      </c>
      <c r="S13" s="16" t="s">
        <v>15</v>
      </c>
      <c r="T13" s="16" t="s">
        <v>15</v>
      </c>
      <c r="U13" s="16" t="s">
        <v>15</v>
      </c>
      <c r="V13" s="16" t="s">
        <v>15</v>
      </c>
      <c r="W13" s="16" t="s">
        <v>15</v>
      </c>
      <c r="X13" s="22">
        <f t="shared" si="1"/>
        <v>1</v>
      </c>
      <c r="Y13" s="16" t="s">
        <v>15</v>
      </c>
      <c r="Z13" s="16" t="s">
        <v>15</v>
      </c>
      <c r="AA13" s="16" t="s">
        <v>15</v>
      </c>
      <c r="AB13" s="16" t="s">
        <v>15</v>
      </c>
      <c r="AC13" s="16" t="s">
        <v>15</v>
      </c>
      <c r="AD13" s="16" t="s">
        <v>15</v>
      </c>
      <c r="AE13" s="16" t="s">
        <v>15</v>
      </c>
      <c r="AF13" s="16" t="s">
        <v>15</v>
      </c>
      <c r="AG13" s="16" t="s">
        <v>15</v>
      </c>
      <c r="AH13" s="16" t="s">
        <v>15</v>
      </c>
      <c r="AI13" s="16" t="s">
        <v>15</v>
      </c>
      <c r="AJ13" s="16" t="s">
        <v>15</v>
      </c>
      <c r="AK13" s="16" t="s">
        <v>15</v>
      </c>
      <c r="AL13" s="16" t="s">
        <v>15</v>
      </c>
      <c r="AM13" s="143" t="s">
        <v>15</v>
      </c>
      <c r="AN13" s="16" t="s">
        <v>15</v>
      </c>
      <c r="AO13" s="16" t="s">
        <v>15</v>
      </c>
      <c r="AP13" s="16" t="s">
        <v>15</v>
      </c>
      <c r="AQ13" s="16" t="s">
        <v>15</v>
      </c>
      <c r="AR13" s="16" t="s">
        <v>15</v>
      </c>
      <c r="AS13" s="22">
        <f t="shared" si="2"/>
        <v>1</v>
      </c>
      <c r="AT13" s="16" t="s">
        <v>15</v>
      </c>
      <c r="AU13" s="16" t="s">
        <v>15</v>
      </c>
      <c r="AV13" s="16" t="s">
        <v>15</v>
      </c>
      <c r="AW13" s="16" t="s">
        <v>15</v>
      </c>
      <c r="AX13" s="16" t="s">
        <v>15</v>
      </c>
      <c r="AY13" s="43" t="s">
        <v>15</v>
      </c>
      <c r="AZ13" s="16" t="s">
        <v>15</v>
      </c>
      <c r="BA13" s="22">
        <f t="shared" si="3"/>
        <v>1</v>
      </c>
      <c r="BB13" s="16" t="s">
        <v>15</v>
      </c>
      <c r="BC13" s="16"/>
      <c r="BD13" s="16"/>
      <c r="BE13" s="16"/>
      <c r="BF13" s="16"/>
      <c r="BG13" s="71" t="s">
        <v>15</v>
      </c>
      <c r="BH13" s="16"/>
      <c r="BI13" s="71" t="s">
        <v>15</v>
      </c>
      <c r="BJ13" s="21"/>
      <c r="BK13" s="51" t="s">
        <v>16</v>
      </c>
      <c r="BL13" s="65" t="s">
        <v>15</v>
      </c>
      <c r="BM13" s="16" t="s">
        <v>15</v>
      </c>
      <c r="BN13" s="169" t="s">
        <v>16</v>
      </c>
      <c r="BO13" s="16" t="s">
        <v>15</v>
      </c>
      <c r="BP13" s="60" t="s">
        <v>15</v>
      </c>
      <c r="BQ13" s="21"/>
      <c r="BR13" s="43" t="s">
        <v>15</v>
      </c>
      <c r="BS13" s="21"/>
      <c r="BT13" s="21"/>
      <c r="BU13" s="16" t="s">
        <v>15</v>
      </c>
      <c r="BV13" s="170" t="s">
        <v>15</v>
      </c>
      <c r="BW13" s="60" t="s">
        <v>15</v>
      </c>
      <c r="BX13" s="22">
        <f t="shared" si="4"/>
        <v>0.8461538462</v>
      </c>
    </row>
    <row r="14">
      <c r="A14" s="24">
        <v>10.0</v>
      </c>
      <c r="B14" s="91"/>
      <c r="C14" s="58"/>
      <c r="D14" s="171" t="s">
        <v>15</v>
      </c>
      <c r="E14" s="16" t="s">
        <v>15</v>
      </c>
      <c r="F14" s="16" t="s">
        <v>16</v>
      </c>
      <c r="G14" s="154" t="s">
        <v>15</v>
      </c>
      <c r="H14" s="154" t="s">
        <v>16</v>
      </c>
      <c r="I14" s="154" t="s">
        <v>15</v>
      </c>
      <c r="J14" s="154" t="s">
        <v>15</v>
      </c>
      <c r="K14" s="154" t="s">
        <v>16</v>
      </c>
      <c r="L14" s="154" t="s">
        <v>15</v>
      </c>
      <c r="M14" s="154" t="s">
        <v>15</v>
      </c>
      <c r="N14" s="154" t="s">
        <v>15</v>
      </c>
      <c r="O14" s="16" t="s">
        <v>15</v>
      </c>
      <c r="P14" s="16" t="s">
        <v>15</v>
      </c>
      <c r="Q14" s="16" t="s">
        <v>15</v>
      </c>
      <c r="R14" s="16" t="s">
        <v>16</v>
      </c>
      <c r="S14" s="16" t="s">
        <v>15</v>
      </c>
      <c r="T14" s="16" t="s">
        <v>15</v>
      </c>
      <c r="U14" s="16" t="s">
        <v>15</v>
      </c>
      <c r="V14" s="16" t="s">
        <v>15</v>
      </c>
      <c r="W14" s="16" t="s">
        <v>15</v>
      </c>
      <c r="X14" s="22">
        <f t="shared" si="1"/>
        <v>0.8</v>
      </c>
      <c r="Y14" s="16" t="s">
        <v>16</v>
      </c>
      <c r="Z14" s="16" t="s">
        <v>16</v>
      </c>
      <c r="AA14" s="16" t="s">
        <v>15</v>
      </c>
      <c r="AB14" s="16" t="s">
        <v>16</v>
      </c>
      <c r="AC14" s="16" t="s">
        <v>15</v>
      </c>
      <c r="AD14" s="16" t="s">
        <v>15</v>
      </c>
      <c r="AE14" s="16" t="s">
        <v>15</v>
      </c>
      <c r="AF14" s="16" t="s">
        <v>15</v>
      </c>
      <c r="AG14" s="16" t="s">
        <v>15</v>
      </c>
      <c r="AH14" s="16" t="s">
        <v>15</v>
      </c>
      <c r="AI14" s="16" t="s">
        <v>15</v>
      </c>
      <c r="AJ14" s="16" t="s">
        <v>15</v>
      </c>
      <c r="AK14" s="16" t="s">
        <v>15</v>
      </c>
      <c r="AL14" s="16" t="s">
        <v>15</v>
      </c>
      <c r="AM14" s="143" t="s">
        <v>15</v>
      </c>
      <c r="AN14" s="16" t="s">
        <v>15</v>
      </c>
      <c r="AO14" s="16" t="s">
        <v>15</v>
      </c>
      <c r="AP14" s="16" t="s">
        <v>15</v>
      </c>
      <c r="AQ14" s="16" t="s">
        <v>15</v>
      </c>
      <c r="AR14" s="16" t="s">
        <v>15</v>
      </c>
      <c r="AS14" s="22">
        <f t="shared" si="2"/>
        <v>0.85</v>
      </c>
      <c r="AT14" s="16" t="s">
        <v>15</v>
      </c>
      <c r="AU14" s="16" t="s">
        <v>15</v>
      </c>
      <c r="AV14" s="16" t="s">
        <v>15</v>
      </c>
      <c r="AW14" s="16" t="s">
        <v>15</v>
      </c>
      <c r="AX14" s="16" t="s">
        <v>15</v>
      </c>
      <c r="AY14" s="43" t="s">
        <v>15</v>
      </c>
      <c r="AZ14" s="16" t="s">
        <v>16</v>
      </c>
      <c r="BA14" s="22">
        <f t="shared" si="3"/>
        <v>0.8571428571</v>
      </c>
      <c r="BB14" s="16" t="s">
        <v>15</v>
      </c>
      <c r="BC14" s="16"/>
      <c r="BD14" s="16"/>
      <c r="BE14" s="16"/>
      <c r="BF14" s="16"/>
      <c r="BG14" s="71" t="s">
        <v>15</v>
      </c>
      <c r="BH14" s="16"/>
      <c r="BI14" s="85" t="s">
        <v>16</v>
      </c>
      <c r="BJ14" s="21"/>
      <c r="BK14" s="51" t="s">
        <v>16</v>
      </c>
      <c r="BL14" s="65" t="s">
        <v>15</v>
      </c>
      <c r="BM14" s="16" t="s">
        <v>15</v>
      </c>
      <c r="BN14" s="170" t="s">
        <v>15</v>
      </c>
      <c r="BO14" s="16" t="s">
        <v>15</v>
      </c>
      <c r="BP14" s="77" t="s">
        <v>16</v>
      </c>
      <c r="BQ14" s="21"/>
      <c r="BR14" s="43" t="s">
        <v>15</v>
      </c>
      <c r="BS14" s="21"/>
      <c r="BT14" s="21"/>
      <c r="BU14" s="16" t="s">
        <v>15</v>
      </c>
      <c r="BV14" s="169" t="s">
        <v>16</v>
      </c>
      <c r="BW14" s="60" t="s">
        <v>15</v>
      </c>
      <c r="BX14" s="22">
        <f t="shared" si="4"/>
        <v>0.6923076923</v>
      </c>
    </row>
    <row r="15">
      <c r="A15" s="24">
        <v>11.0</v>
      </c>
      <c r="B15" s="62"/>
      <c r="C15" s="58"/>
      <c r="D15" s="171" t="s">
        <v>15</v>
      </c>
      <c r="E15" s="154" t="s">
        <v>15</v>
      </c>
      <c r="F15" s="154" t="s">
        <v>16</v>
      </c>
      <c r="G15" s="154" t="s">
        <v>15</v>
      </c>
      <c r="H15" s="154" t="s">
        <v>15</v>
      </c>
      <c r="I15" s="154" t="s">
        <v>15</v>
      </c>
      <c r="J15" s="154" t="s">
        <v>15</v>
      </c>
      <c r="K15" s="154" t="s">
        <v>15</v>
      </c>
      <c r="L15" s="16" t="s">
        <v>15</v>
      </c>
      <c r="M15" s="154" t="s">
        <v>15</v>
      </c>
      <c r="N15" s="16" t="s">
        <v>15</v>
      </c>
      <c r="O15" s="16" t="s">
        <v>15</v>
      </c>
      <c r="P15" s="16" t="s">
        <v>15</v>
      </c>
      <c r="Q15" s="16" t="s">
        <v>15</v>
      </c>
      <c r="R15" s="16" t="s">
        <v>15</v>
      </c>
      <c r="S15" s="16" t="s">
        <v>15</v>
      </c>
      <c r="T15" s="16" t="s">
        <v>15</v>
      </c>
      <c r="U15" s="16" t="s">
        <v>15</v>
      </c>
      <c r="V15" s="16" t="s">
        <v>15</v>
      </c>
      <c r="W15" s="16" t="s">
        <v>15</v>
      </c>
      <c r="X15" s="22">
        <f t="shared" si="1"/>
        <v>0.95</v>
      </c>
      <c r="Y15" s="16" t="s">
        <v>15</v>
      </c>
      <c r="Z15" s="16" t="s">
        <v>15</v>
      </c>
      <c r="AA15" s="16" t="s">
        <v>15</v>
      </c>
      <c r="AB15" s="16" t="s">
        <v>16</v>
      </c>
      <c r="AC15" s="16" t="s">
        <v>15</v>
      </c>
      <c r="AD15" s="16" t="s">
        <v>15</v>
      </c>
      <c r="AE15" s="16" t="s">
        <v>15</v>
      </c>
      <c r="AF15" s="16" t="s">
        <v>15</v>
      </c>
      <c r="AG15" s="16" t="s">
        <v>15</v>
      </c>
      <c r="AH15" s="16" t="s">
        <v>15</v>
      </c>
      <c r="AI15" s="16" t="s">
        <v>15</v>
      </c>
      <c r="AJ15" s="16" t="s">
        <v>15</v>
      </c>
      <c r="AK15" s="16" t="s">
        <v>15</v>
      </c>
      <c r="AL15" s="16" t="s">
        <v>15</v>
      </c>
      <c r="AM15" s="143" t="s">
        <v>15</v>
      </c>
      <c r="AN15" s="16" t="s">
        <v>16</v>
      </c>
      <c r="AO15" s="16" t="s">
        <v>15</v>
      </c>
      <c r="AP15" s="16" t="s">
        <v>15</v>
      </c>
      <c r="AQ15" s="16" t="s">
        <v>15</v>
      </c>
      <c r="AR15" s="16" t="s">
        <v>15</v>
      </c>
      <c r="AS15" s="22">
        <f t="shared" si="2"/>
        <v>0.9</v>
      </c>
      <c r="AT15" s="16" t="s">
        <v>15</v>
      </c>
      <c r="AU15" s="16" t="s">
        <v>15</v>
      </c>
      <c r="AV15" s="16" t="s">
        <v>15</v>
      </c>
      <c r="AW15" s="16" t="s">
        <v>15</v>
      </c>
      <c r="AX15" s="16" t="s">
        <v>15</v>
      </c>
      <c r="AY15" s="43" t="s">
        <v>15</v>
      </c>
      <c r="AZ15" s="16" t="s">
        <v>15</v>
      </c>
      <c r="BA15" s="22">
        <f t="shared" si="3"/>
        <v>1</v>
      </c>
      <c r="BB15" s="16" t="s">
        <v>15</v>
      </c>
      <c r="BC15" s="16"/>
      <c r="BD15" s="16"/>
      <c r="BE15" s="16"/>
      <c r="BF15" s="16"/>
      <c r="BG15" s="71" t="s">
        <v>15</v>
      </c>
      <c r="BH15" s="16"/>
      <c r="BI15" s="71" t="s">
        <v>15</v>
      </c>
      <c r="BJ15" s="21"/>
      <c r="BK15" s="65" t="s">
        <v>15</v>
      </c>
      <c r="BL15" s="65" t="s">
        <v>15</v>
      </c>
      <c r="BM15" s="16" t="s">
        <v>15</v>
      </c>
      <c r="BN15" s="170" t="s">
        <v>15</v>
      </c>
      <c r="BO15" s="16" t="s">
        <v>15</v>
      </c>
      <c r="BP15" s="60" t="s">
        <v>15</v>
      </c>
      <c r="BQ15" s="21"/>
      <c r="BR15" s="43" t="s">
        <v>15</v>
      </c>
      <c r="BS15" s="21"/>
      <c r="BT15" s="21"/>
      <c r="BU15" s="16" t="s">
        <v>15</v>
      </c>
      <c r="BV15" s="169" t="s">
        <v>16</v>
      </c>
      <c r="BW15" s="60" t="s">
        <v>15</v>
      </c>
      <c r="BX15" s="22">
        <f t="shared" si="4"/>
        <v>0.9230769231</v>
      </c>
    </row>
    <row r="16">
      <c r="A16" s="24">
        <v>12.0</v>
      </c>
      <c r="B16" s="99"/>
      <c r="C16" s="177" t="s">
        <v>43</v>
      </c>
      <c r="D16" s="16" t="s">
        <v>16</v>
      </c>
      <c r="E16" s="154" t="s">
        <v>15</v>
      </c>
      <c r="F16" s="154" t="s">
        <v>15</v>
      </c>
      <c r="G16" s="154" t="s">
        <v>15</v>
      </c>
      <c r="H16" s="154" t="s">
        <v>16</v>
      </c>
      <c r="I16" s="154" t="s">
        <v>15</v>
      </c>
      <c r="J16" s="154" t="s">
        <v>15</v>
      </c>
      <c r="K16" s="154" t="s">
        <v>15</v>
      </c>
      <c r="L16" s="16" t="s">
        <v>16</v>
      </c>
      <c r="M16" s="16" t="s">
        <v>16</v>
      </c>
      <c r="N16" s="16" t="s">
        <v>15</v>
      </c>
      <c r="O16" s="16" t="s">
        <v>15</v>
      </c>
      <c r="P16" s="16" t="s">
        <v>15</v>
      </c>
      <c r="Q16" s="16" t="s">
        <v>15</v>
      </c>
      <c r="R16" s="16" t="s">
        <v>15</v>
      </c>
      <c r="S16" s="16" t="s">
        <v>15</v>
      </c>
      <c r="T16" s="16" t="s">
        <v>15</v>
      </c>
      <c r="U16" s="16" t="s">
        <v>15</v>
      </c>
      <c r="V16" s="16" t="s">
        <v>15</v>
      </c>
      <c r="W16" s="16" t="s">
        <v>15</v>
      </c>
      <c r="X16" s="22">
        <f t="shared" si="1"/>
        <v>0.8</v>
      </c>
      <c r="Y16" s="16" t="s">
        <v>15</v>
      </c>
      <c r="Z16" s="16" t="s">
        <v>15</v>
      </c>
      <c r="AA16" s="16" t="s">
        <v>15</v>
      </c>
      <c r="AB16" s="16" t="s">
        <v>15</v>
      </c>
      <c r="AC16" s="16" t="s">
        <v>16</v>
      </c>
      <c r="AD16" s="16" t="s">
        <v>15</v>
      </c>
      <c r="AE16" s="16" t="s">
        <v>15</v>
      </c>
      <c r="AF16" s="16" t="s">
        <v>15</v>
      </c>
      <c r="AG16" s="16" t="s">
        <v>15</v>
      </c>
      <c r="AH16" s="16" t="s">
        <v>15</v>
      </c>
      <c r="AI16" s="16" t="s">
        <v>15</v>
      </c>
      <c r="AJ16" s="16" t="s">
        <v>16</v>
      </c>
      <c r="AK16" s="16" t="s">
        <v>15</v>
      </c>
      <c r="AL16" s="16" t="s">
        <v>16</v>
      </c>
      <c r="AM16" s="143" t="s">
        <v>15</v>
      </c>
      <c r="AN16" s="16" t="s">
        <v>16</v>
      </c>
      <c r="AO16" s="16" t="s">
        <v>15</v>
      </c>
      <c r="AP16" s="16" t="s">
        <v>15</v>
      </c>
      <c r="AQ16" s="16" t="s">
        <v>16</v>
      </c>
      <c r="AR16" s="150" t="s">
        <v>20</v>
      </c>
      <c r="AS16" s="22">
        <f t="shared" si="2"/>
        <v>0.7368421053</v>
      </c>
      <c r="AT16" s="150" t="s">
        <v>20</v>
      </c>
      <c r="AU16" s="150" t="s">
        <v>20</v>
      </c>
      <c r="AV16" s="174" t="s">
        <v>15</v>
      </c>
      <c r="AW16" s="174" t="s">
        <v>16</v>
      </c>
      <c r="AX16" s="174" t="s">
        <v>16</v>
      </c>
      <c r="AY16" s="178" t="s">
        <v>16</v>
      </c>
      <c r="AZ16" s="150"/>
      <c r="BA16" s="22">
        <f t="shared" si="3"/>
        <v>0.25</v>
      </c>
      <c r="BB16" s="150"/>
      <c r="BC16" s="150" t="s">
        <v>20</v>
      </c>
      <c r="BD16" s="150" t="s">
        <v>20</v>
      </c>
      <c r="BE16" s="150" t="s">
        <v>20</v>
      </c>
      <c r="BF16" s="150" t="s">
        <v>20</v>
      </c>
      <c r="BG16" s="74" t="s">
        <v>18</v>
      </c>
      <c r="BH16" s="150" t="s">
        <v>20</v>
      </c>
      <c r="BI16" s="74" t="s">
        <v>18</v>
      </c>
      <c r="BJ16" s="150" t="s">
        <v>20</v>
      </c>
      <c r="BK16" s="74" t="s">
        <v>18</v>
      </c>
      <c r="BL16" s="74" t="s">
        <v>18</v>
      </c>
      <c r="BM16" s="150" t="s">
        <v>20</v>
      </c>
      <c r="BN16" s="175" t="s">
        <v>18</v>
      </c>
      <c r="BO16" s="150" t="s">
        <v>20</v>
      </c>
      <c r="BP16" s="49" t="s">
        <v>18</v>
      </c>
      <c r="BQ16" s="150" t="s">
        <v>20</v>
      </c>
      <c r="BR16" s="150" t="s">
        <v>20</v>
      </c>
      <c r="BS16" s="150" t="s">
        <v>20</v>
      </c>
      <c r="BT16" s="150" t="s">
        <v>20</v>
      </c>
      <c r="BU16" s="150" t="s">
        <v>20</v>
      </c>
      <c r="BV16" s="74" t="s">
        <v>18</v>
      </c>
      <c r="BW16" s="49" t="s">
        <v>18</v>
      </c>
      <c r="BX16" s="22" t="str">
        <f t="shared" si="4"/>
        <v>0,00%</v>
      </c>
    </row>
    <row r="17">
      <c r="A17" s="24">
        <v>13.0</v>
      </c>
      <c r="B17" s="92"/>
      <c r="C17" s="112" t="s">
        <v>44</v>
      </c>
      <c r="D17" s="150" t="s">
        <v>20</v>
      </c>
      <c r="E17" s="150" t="s">
        <v>20</v>
      </c>
      <c r="F17" s="150" t="s">
        <v>20</v>
      </c>
      <c r="G17" s="150" t="s">
        <v>20</v>
      </c>
      <c r="H17" s="150" t="s">
        <v>20</v>
      </c>
      <c r="I17" s="150" t="s">
        <v>20</v>
      </c>
      <c r="J17" s="150" t="s">
        <v>20</v>
      </c>
      <c r="K17" s="150" t="s">
        <v>20</v>
      </c>
      <c r="L17" s="174" t="s">
        <v>20</v>
      </c>
      <c r="M17" s="150" t="s">
        <v>20</v>
      </c>
      <c r="N17" s="150"/>
      <c r="O17" s="174" t="s">
        <v>20</v>
      </c>
      <c r="P17" s="174" t="s">
        <v>20</v>
      </c>
      <c r="Q17" s="174" t="s">
        <v>20</v>
      </c>
      <c r="R17" s="150" t="s">
        <v>20</v>
      </c>
      <c r="S17" s="150"/>
      <c r="T17" s="150" t="s">
        <v>20</v>
      </c>
      <c r="U17" s="174" t="s">
        <v>20</v>
      </c>
      <c r="V17" s="174" t="s">
        <v>20</v>
      </c>
      <c r="W17" s="150"/>
      <c r="X17" s="48" t="str">
        <f t="shared" si="1"/>
        <v>0,00%</v>
      </c>
      <c r="Y17" s="150"/>
      <c r="Z17" s="150"/>
      <c r="AA17" s="174" t="s">
        <v>20</v>
      </c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48" t="str">
        <f t="shared" si="2"/>
        <v>0,00%</v>
      </c>
      <c r="AT17" s="174" t="s">
        <v>20</v>
      </c>
      <c r="AU17" s="150"/>
      <c r="AV17" s="150"/>
      <c r="AW17" s="150"/>
      <c r="AX17" s="174" t="s">
        <v>20</v>
      </c>
      <c r="AY17" s="49"/>
      <c r="AZ17" s="150"/>
      <c r="BA17" s="48" t="str">
        <f t="shared" si="3"/>
        <v>0,00%</v>
      </c>
      <c r="BB17" s="150"/>
      <c r="BC17" s="150"/>
      <c r="BD17" s="150"/>
      <c r="BE17" s="150"/>
      <c r="BF17" s="150"/>
      <c r="BG17" s="74" t="s">
        <v>18</v>
      </c>
      <c r="BH17" s="150"/>
      <c r="BI17" s="74" t="s">
        <v>18</v>
      </c>
      <c r="BJ17" s="150"/>
      <c r="BK17" s="74" t="s">
        <v>18</v>
      </c>
      <c r="BL17" s="74" t="s">
        <v>18</v>
      </c>
      <c r="BM17" s="150"/>
      <c r="BN17" s="175" t="s">
        <v>18</v>
      </c>
      <c r="BO17" s="150"/>
      <c r="BP17" s="49" t="s">
        <v>18</v>
      </c>
      <c r="BQ17" s="150"/>
      <c r="BR17" s="150"/>
      <c r="BS17" s="150"/>
      <c r="BT17" s="150"/>
      <c r="BU17" s="150"/>
      <c r="BV17" s="74" t="s">
        <v>18</v>
      </c>
      <c r="BW17" s="49" t="s">
        <v>18</v>
      </c>
      <c r="BX17" s="48" t="str">
        <f t="shared" si="4"/>
        <v>0,00%</v>
      </c>
    </row>
    <row r="18">
      <c r="A18" s="24">
        <v>14.0</v>
      </c>
      <c r="B18" s="62"/>
      <c r="C18" s="26"/>
      <c r="D18" s="161" t="s">
        <v>15</v>
      </c>
      <c r="E18" s="16" t="s">
        <v>16</v>
      </c>
      <c r="F18" s="16" t="s">
        <v>16</v>
      </c>
      <c r="G18" s="16" t="s">
        <v>16</v>
      </c>
      <c r="H18" s="16" t="s">
        <v>16</v>
      </c>
      <c r="I18" s="154" t="s">
        <v>16</v>
      </c>
      <c r="J18" s="154" t="s">
        <v>15</v>
      </c>
      <c r="K18" s="154" t="s">
        <v>15</v>
      </c>
      <c r="L18" s="16" t="s">
        <v>15</v>
      </c>
      <c r="M18" s="16" t="s">
        <v>15</v>
      </c>
      <c r="N18" s="16" t="s">
        <v>15</v>
      </c>
      <c r="O18" s="16" t="s">
        <v>16</v>
      </c>
      <c r="P18" s="16" t="s">
        <v>15</v>
      </c>
      <c r="Q18" s="16" t="s">
        <v>15</v>
      </c>
      <c r="R18" s="16" t="s">
        <v>16</v>
      </c>
      <c r="S18" s="16" t="s">
        <v>15</v>
      </c>
      <c r="T18" s="16" t="s">
        <v>15</v>
      </c>
      <c r="U18" s="16" t="s">
        <v>15</v>
      </c>
      <c r="V18" s="16" t="s">
        <v>15</v>
      </c>
      <c r="W18" s="16" t="s">
        <v>15</v>
      </c>
      <c r="X18" s="22">
        <f t="shared" si="1"/>
        <v>0.65</v>
      </c>
      <c r="Y18" s="16" t="s">
        <v>15</v>
      </c>
      <c r="Z18" s="16" t="s">
        <v>15</v>
      </c>
      <c r="AA18" s="16" t="s">
        <v>16</v>
      </c>
      <c r="AB18" s="16" t="s">
        <v>16</v>
      </c>
      <c r="AC18" s="16" t="s">
        <v>15</v>
      </c>
      <c r="AD18" s="16" t="s">
        <v>15</v>
      </c>
      <c r="AE18" s="16" t="s">
        <v>15</v>
      </c>
      <c r="AF18" s="16" t="s">
        <v>16</v>
      </c>
      <c r="AG18" s="16" t="s">
        <v>15</v>
      </c>
      <c r="AH18" s="16" t="s">
        <v>15</v>
      </c>
      <c r="AI18" s="16" t="s">
        <v>16</v>
      </c>
      <c r="AJ18" s="16" t="s">
        <v>16</v>
      </c>
      <c r="AK18" s="16" t="s">
        <v>15</v>
      </c>
      <c r="AL18" s="16" t="s">
        <v>16</v>
      </c>
      <c r="AM18" s="16" t="s">
        <v>16</v>
      </c>
      <c r="AN18" s="16" t="s">
        <v>16</v>
      </c>
      <c r="AO18" s="16" t="s">
        <v>15</v>
      </c>
      <c r="AP18" s="16" t="s">
        <v>15</v>
      </c>
      <c r="AQ18" s="16" t="s">
        <v>15</v>
      </c>
      <c r="AR18" s="16" t="s">
        <v>15</v>
      </c>
      <c r="AS18" s="22">
        <f t="shared" si="2"/>
        <v>0.6</v>
      </c>
      <c r="AT18" s="16" t="s">
        <v>15</v>
      </c>
      <c r="AU18" s="16" t="s">
        <v>16</v>
      </c>
      <c r="AV18" s="16" t="s">
        <v>16</v>
      </c>
      <c r="AW18" s="16" t="s">
        <v>15</v>
      </c>
      <c r="AX18" s="16" t="s">
        <v>15</v>
      </c>
      <c r="AY18" s="159" t="s">
        <v>16</v>
      </c>
      <c r="AZ18" s="16" t="s">
        <v>15</v>
      </c>
      <c r="BA18" s="22">
        <f t="shared" si="3"/>
        <v>0.5714285714</v>
      </c>
      <c r="BB18" s="16" t="s">
        <v>15</v>
      </c>
      <c r="BC18" s="16"/>
      <c r="BD18" s="16"/>
      <c r="BE18" s="16"/>
      <c r="BF18" s="16"/>
      <c r="BG18" s="71" t="s">
        <v>15</v>
      </c>
      <c r="BH18" s="16"/>
      <c r="BI18" s="71" t="s">
        <v>15</v>
      </c>
      <c r="BJ18" s="21"/>
      <c r="BK18" s="65" t="s">
        <v>15</v>
      </c>
      <c r="BL18" s="65" t="s">
        <v>15</v>
      </c>
      <c r="BM18" s="16" t="s">
        <v>15</v>
      </c>
      <c r="BN18" s="170" t="s">
        <v>15</v>
      </c>
      <c r="BO18" s="16" t="s">
        <v>15</v>
      </c>
      <c r="BP18" s="60" t="s">
        <v>15</v>
      </c>
      <c r="BQ18" s="21"/>
      <c r="BR18" s="77" t="s">
        <v>16</v>
      </c>
      <c r="BS18" s="21"/>
      <c r="BT18" s="21"/>
      <c r="BU18" s="16" t="s">
        <v>16</v>
      </c>
      <c r="BV18" s="170" t="s">
        <v>15</v>
      </c>
      <c r="BW18" s="60" t="s">
        <v>15</v>
      </c>
      <c r="BX18" s="22">
        <f t="shared" si="4"/>
        <v>0.8461538462</v>
      </c>
    </row>
    <row r="19">
      <c r="A19" s="24">
        <v>15.0</v>
      </c>
      <c r="B19" s="62"/>
      <c r="C19" s="113"/>
      <c r="D19" s="16" t="s">
        <v>15</v>
      </c>
      <c r="E19" s="16" t="s">
        <v>15</v>
      </c>
      <c r="F19" s="16" t="s">
        <v>15</v>
      </c>
      <c r="G19" s="16" t="s">
        <v>16</v>
      </c>
      <c r="H19" s="154" t="s">
        <v>15</v>
      </c>
      <c r="I19" s="154" t="s">
        <v>16</v>
      </c>
      <c r="J19" s="154" t="s">
        <v>15</v>
      </c>
      <c r="K19" s="154" t="s">
        <v>15</v>
      </c>
      <c r="L19" s="16" t="s">
        <v>15</v>
      </c>
      <c r="M19" s="16" t="s">
        <v>15</v>
      </c>
      <c r="N19" s="16" t="s">
        <v>15</v>
      </c>
      <c r="O19" s="16" t="s">
        <v>16</v>
      </c>
      <c r="P19" s="16" t="s">
        <v>15</v>
      </c>
      <c r="Q19" s="16" t="s">
        <v>15</v>
      </c>
      <c r="R19" s="16" t="s">
        <v>15</v>
      </c>
      <c r="S19" s="16" t="s">
        <v>15</v>
      </c>
      <c r="T19" s="16" t="s">
        <v>15</v>
      </c>
      <c r="U19" s="16" t="s">
        <v>15</v>
      </c>
      <c r="V19" s="16" t="s">
        <v>15</v>
      </c>
      <c r="W19" s="16" t="s">
        <v>15</v>
      </c>
      <c r="X19" s="22">
        <f t="shared" si="1"/>
        <v>0.85</v>
      </c>
      <c r="Y19" s="16" t="s">
        <v>16</v>
      </c>
      <c r="Z19" s="16" t="s">
        <v>15</v>
      </c>
      <c r="AA19" s="16" t="s">
        <v>16</v>
      </c>
      <c r="AB19" s="16" t="s">
        <v>15</v>
      </c>
      <c r="AC19" s="16" t="s">
        <v>15</v>
      </c>
      <c r="AD19" s="16" t="s">
        <v>15</v>
      </c>
      <c r="AE19" s="16" t="s">
        <v>15</v>
      </c>
      <c r="AF19" s="16" t="s">
        <v>16</v>
      </c>
      <c r="AG19" s="16" t="s">
        <v>15</v>
      </c>
      <c r="AH19" s="16" t="s">
        <v>15</v>
      </c>
      <c r="AI19" s="16" t="s">
        <v>15</v>
      </c>
      <c r="AJ19" s="16" t="s">
        <v>16</v>
      </c>
      <c r="AK19" s="16" t="s">
        <v>15</v>
      </c>
      <c r="AL19" s="16" t="s">
        <v>15</v>
      </c>
      <c r="AM19" s="143" t="s">
        <v>15</v>
      </c>
      <c r="AN19" s="16" t="s">
        <v>16</v>
      </c>
      <c r="AO19" s="16" t="s">
        <v>15</v>
      </c>
      <c r="AP19" s="16" t="s">
        <v>15</v>
      </c>
      <c r="AQ19" s="16" t="s">
        <v>15</v>
      </c>
      <c r="AR19" s="16" t="s">
        <v>16</v>
      </c>
      <c r="AS19" s="22">
        <f t="shared" si="2"/>
        <v>0.7</v>
      </c>
      <c r="AT19" s="16" t="s">
        <v>15</v>
      </c>
      <c r="AU19" s="16" t="s">
        <v>16</v>
      </c>
      <c r="AV19" s="16" t="s">
        <v>15</v>
      </c>
      <c r="AW19" s="16" t="s">
        <v>15</v>
      </c>
      <c r="AX19" s="16" t="s">
        <v>15</v>
      </c>
      <c r="AY19" s="43" t="s">
        <v>15</v>
      </c>
      <c r="AZ19" s="16" t="s">
        <v>15</v>
      </c>
      <c r="BA19" s="22">
        <f t="shared" si="3"/>
        <v>0.8571428571</v>
      </c>
      <c r="BB19" s="16" t="s">
        <v>15</v>
      </c>
      <c r="BC19" s="16"/>
      <c r="BD19" s="16"/>
      <c r="BE19" s="16"/>
      <c r="BF19" s="16"/>
      <c r="BG19" s="85" t="s">
        <v>16</v>
      </c>
      <c r="BH19" s="16"/>
      <c r="BI19" s="71" t="s">
        <v>15</v>
      </c>
      <c r="BJ19" s="21"/>
      <c r="BK19" s="65" t="s">
        <v>15</v>
      </c>
      <c r="BL19" s="65" t="s">
        <v>15</v>
      </c>
      <c r="BM19" s="16" t="s">
        <v>15</v>
      </c>
      <c r="BN19" s="169" t="s">
        <v>16</v>
      </c>
      <c r="BO19" s="16" t="s">
        <v>15</v>
      </c>
      <c r="BP19" s="77" t="s">
        <v>16</v>
      </c>
      <c r="BQ19" s="21"/>
      <c r="BR19" s="43" t="s">
        <v>15</v>
      </c>
      <c r="BS19" s="21"/>
      <c r="BT19" s="21"/>
      <c r="BU19" s="16" t="s">
        <v>15</v>
      </c>
      <c r="BV19" s="169" t="s">
        <v>16</v>
      </c>
      <c r="BW19" s="77" t="s">
        <v>16</v>
      </c>
      <c r="BX19" s="22">
        <f t="shared" si="4"/>
        <v>0.6153846154</v>
      </c>
    </row>
    <row r="20">
      <c r="A20" s="24">
        <v>16.0</v>
      </c>
      <c r="B20" s="55"/>
      <c r="C20" s="37" t="s">
        <v>32</v>
      </c>
      <c r="D20" s="16" t="s">
        <v>16</v>
      </c>
      <c r="E20" s="16" t="s">
        <v>15</v>
      </c>
      <c r="F20" s="16" t="s">
        <v>15</v>
      </c>
      <c r="G20" s="16" t="s">
        <v>15</v>
      </c>
      <c r="H20" s="154" t="s">
        <v>15</v>
      </c>
      <c r="I20" s="154" t="s">
        <v>15</v>
      </c>
      <c r="J20" s="154" t="s">
        <v>15</v>
      </c>
      <c r="K20" s="154" t="s">
        <v>15</v>
      </c>
      <c r="L20" s="16" t="s">
        <v>15</v>
      </c>
      <c r="M20" s="16" t="s">
        <v>15</v>
      </c>
      <c r="N20" s="16" t="s">
        <v>15</v>
      </c>
      <c r="O20" s="16" t="s">
        <v>16</v>
      </c>
      <c r="P20" s="16" t="s">
        <v>15</v>
      </c>
      <c r="Q20" s="16" t="s">
        <v>15</v>
      </c>
      <c r="R20" s="16" t="s">
        <v>15</v>
      </c>
      <c r="S20" s="16" t="s">
        <v>15</v>
      </c>
      <c r="T20" s="16" t="s">
        <v>16</v>
      </c>
      <c r="U20" s="16" t="s">
        <v>16</v>
      </c>
      <c r="V20" s="16" t="s">
        <v>15</v>
      </c>
      <c r="W20" s="16" t="s">
        <v>15</v>
      </c>
      <c r="X20" s="22">
        <f t="shared" si="1"/>
        <v>0.8</v>
      </c>
      <c r="Y20" s="16" t="s">
        <v>16</v>
      </c>
      <c r="Z20" s="16" t="s">
        <v>16</v>
      </c>
      <c r="AA20" s="16" t="s">
        <v>15</v>
      </c>
      <c r="AB20" s="16" t="s">
        <v>15</v>
      </c>
      <c r="AC20" s="16" t="s">
        <v>16</v>
      </c>
      <c r="AD20" s="16" t="s">
        <v>15</v>
      </c>
      <c r="AE20" s="16" t="s">
        <v>15</v>
      </c>
      <c r="AF20" s="16" t="s">
        <v>16</v>
      </c>
      <c r="AG20" s="16" t="s">
        <v>15</v>
      </c>
      <c r="AH20" s="16" t="s">
        <v>16</v>
      </c>
      <c r="AI20" s="16" t="s">
        <v>15</v>
      </c>
      <c r="AJ20" s="16" t="s">
        <v>15</v>
      </c>
      <c r="AK20" s="16" t="s">
        <v>15</v>
      </c>
      <c r="AL20" s="16" t="s">
        <v>15</v>
      </c>
      <c r="AM20" s="16" t="s">
        <v>16</v>
      </c>
      <c r="AN20" s="16" t="s">
        <v>15</v>
      </c>
      <c r="AO20" s="16" t="s">
        <v>16</v>
      </c>
      <c r="AP20" s="16" t="s">
        <v>16</v>
      </c>
      <c r="AQ20" s="16" t="s">
        <v>15</v>
      </c>
      <c r="AR20" s="16" t="s">
        <v>16</v>
      </c>
      <c r="AS20" s="22">
        <f t="shared" si="2"/>
        <v>0.55</v>
      </c>
      <c r="AT20" s="16" t="s">
        <v>15</v>
      </c>
      <c r="AU20" s="16" t="s">
        <v>15</v>
      </c>
      <c r="AV20" s="16" t="s">
        <v>16</v>
      </c>
      <c r="AW20" s="16" t="s">
        <v>16</v>
      </c>
      <c r="AX20" s="16" t="s">
        <v>15</v>
      </c>
      <c r="AY20" s="159" t="s">
        <v>16</v>
      </c>
      <c r="AZ20" s="16" t="s">
        <v>15</v>
      </c>
      <c r="BA20" s="22">
        <f t="shared" si="3"/>
        <v>0.5714285714</v>
      </c>
      <c r="BB20" s="16" t="s">
        <v>15</v>
      </c>
      <c r="BC20" s="16"/>
      <c r="BD20" s="16"/>
      <c r="BE20" s="16"/>
      <c r="BF20" s="16"/>
      <c r="BG20" s="71" t="s">
        <v>15</v>
      </c>
      <c r="BH20" s="16"/>
      <c r="BI20" s="71" t="s">
        <v>15</v>
      </c>
      <c r="BJ20" s="21"/>
      <c r="BK20" s="65" t="s">
        <v>15</v>
      </c>
      <c r="BL20" s="65" t="s">
        <v>15</v>
      </c>
      <c r="BM20" s="16" t="s">
        <v>16</v>
      </c>
      <c r="BN20" s="170" t="s">
        <v>15</v>
      </c>
      <c r="BO20" s="16" t="s">
        <v>15</v>
      </c>
      <c r="BP20" s="60" t="s">
        <v>15</v>
      </c>
      <c r="BQ20" s="21"/>
      <c r="BR20" s="43" t="s">
        <v>15</v>
      </c>
      <c r="BS20" s="21"/>
      <c r="BT20" s="21"/>
      <c r="BU20" s="16" t="s">
        <v>16</v>
      </c>
      <c r="BV20" s="169" t="s">
        <v>16</v>
      </c>
      <c r="BW20" s="77" t="s">
        <v>16</v>
      </c>
      <c r="BX20" s="22">
        <f t="shared" si="4"/>
        <v>0.6923076923</v>
      </c>
    </row>
    <row r="21">
      <c r="A21" s="24">
        <v>17.0</v>
      </c>
      <c r="B21" s="55"/>
      <c r="C21" s="58"/>
      <c r="D21" s="16" t="s">
        <v>16</v>
      </c>
      <c r="E21" s="16" t="s">
        <v>15</v>
      </c>
      <c r="F21" s="16" t="s">
        <v>15</v>
      </c>
      <c r="G21" s="16" t="s">
        <v>16</v>
      </c>
      <c r="H21" s="154" t="s">
        <v>15</v>
      </c>
      <c r="I21" s="154" t="s">
        <v>15</v>
      </c>
      <c r="J21" s="154" t="s">
        <v>15</v>
      </c>
      <c r="K21" s="154" t="s">
        <v>15</v>
      </c>
      <c r="L21" s="16" t="s">
        <v>16</v>
      </c>
      <c r="M21" s="16" t="s">
        <v>15</v>
      </c>
      <c r="N21" s="16" t="s">
        <v>15</v>
      </c>
      <c r="O21" s="16" t="s">
        <v>15</v>
      </c>
      <c r="P21" s="16" t="s">
        <v>16</v>
      </c>
      <c r="Q21" s="16" t="s">
        <v>15</v>
      </c>
      <c r="R21" s="16" t="s">
        <v>16</v>
      </c>
      <c r="S21" s="16" t="s">
        <v>15</v>
      </c>
      <c r="T21" s="16" t="s">
        <v>15</v>
      </c>
      <c r="U21" s="16" t="s">
        <v>15</v>
      </c>
      <c r="V21" s="16" t="s">
        <v>15</v>
      </c>
      <c r="W21" s="16" t="s">
        <v>16</v>
      </c>
      <c r="X21" s="22">
        <f t="shared" si="1"/>
        <v>0.7</v>
      </c>
      <c r="Y21" s="16" t="s">
        <v>15</v>
      </c>
      <c r="Z21" s="16" t="s">
        <v>15</v>
      </c>
      <c r="AA21" s="16" t="s">
        <v>16</v>
      </c>
      <c r="AB21" s="16" t="s">
        <v>15</v>
      </c>
      <c r="AC21" s="16" t="s">
        <v>15</v>
      </c>
      <c r="AD21" s="16" t="s">
        <v>15</v>
      </c>
      <c r="AE21" s="16" t="s">
        <v>15</v>
      </c>
      <c r="AF21" s="16" t="s">
        <v>15</v>
      </c>
      <c r="AG21" s="16" t="s">
        <v>15</v>
      </c>
      <c r="AH21" s="16" t="s">
        <v>15</v>
      </c>
      <c r="AI21" s="16" t="s">
        <v>16</v>
      </c>
      <c r="AJ21" s="16" t="s">
        <v>15</v>
      </c>
      <c r="AK21" s="16" t="s">
        <v>15</v>
      </c>
      <c r="AL21" s="16" t="s">
        <v>15</v>
      </c>
      <c r="AM21" s="143" t="s">
        <v>15</v>
      </c>
      <c r="AN21" s="16" t="s">
        <v>16</v>
      </c>
      <c r="AO21" s="16" t="s">
        <v>15</v>
      </c>
      <c r="AP21" s="16" t="s">
        <v>15</v>
      </c>
      <c r="AQ21" s="16" t="s">
        <v>16</v>
      </c>
      <c r="AR21" s="16" t="s">
        <v>15</v>
      </c>
      <c r="AS21" s="22">
        <f t="shared" si="2"/>
        <v>0.8</v>
      </c>
      <c r="AT21" s="16" t="s">
        <v>15</v>
      </c>
      <c r="AU21" s="16" t="s">
        <v>15</v>
      </c>
      <c r="AV21" s="16" t="s">
        <v>16</v>
      </c>
      <c r="AW21" s="16" t="s">
        <v>15</v>
      </c>
      <c r="AX21" s="16" t="s">
        <v>16</v>
      </c>
      <c r="AY21" s="43" t="s">
        <v>15</v>
      </c>
      <c r="AZ21" s="16" t="s">
        <v>15</v>
      </c>
      <c r="BA21" s="16">
        <f t="shared" si="3"/>
        <v>0.7142857143</v>
      </c>
      <c r="BB21" s="16" t="s">
        <v>15</v>
      </c>
      <c r="BC21" s="16"/>
      <c r="BD21" s="16"/>
      <c r="BE21" s="16"/>
      <c r="BF21" s="16"/>
      <c r="BG21" s="71" t="s">
        <v>15</v>
      </c>
      <c r="BH21" s="16"/>
      <c r="BI21" s="71" t="s">
        <v>15</v>
      </c>
      <c r="BJ21" s="16"/>
      <c r="BK21" s="71" t="s">
        <v>15</v>
      </c>
      <c r="BL21" s="71" t="s">
        <v>15</v>
      </c>
      <c r="BM21" s="16" t="s">
        <v>16</v>
      </c>
      <c r="BN21" s="162" t="s">
        <v>15</v>
      </c>
      <c r="BO21" s="16" t="s">
        <v>15</v>
      </c>
      <c r="BP21" s="43" t="s">
        <v>15</v>
      </c>
      <c r="BQ21" s="16"/>
      <c r="BR21" s="43" t="s">
        <v>15</v>
      </c>
      <c r="BS21" s="16"/>
      <c r="BT21" s="16"/>
      <c r="BU21" s="16" t="s">
        <v>16</v>
      </c>
      <c r="BV21" s="162" t="s">
        <v>15</v>
      </c>
      <c r="BW21" s="159" t="s">
        <v>16</v>
      </c>
      <c r="BX21" s="16">
        <f t="shared" si="4"/>
        <v>0.7692307692</v>
      </c>
    </row>
    <row r="22">
      <c r="A22" s="24">
        <v>18.0</v>
      </c>
      <c r="B22" s="99"/>
      <c r="C22" s="94" t="s">
        <v>19</v>
      </c>
      <c r="D22" s="150" t="s">
        <v>20</v>
      </c>
      <c r="E22" s="174" t="s">
        <v>20</v>
      </c>
      <c r="F22" s="174" t="s">
        <v>20</v>
      </c>
      <c r="G22" s="174" t="s">
        <v>20</v>
      </c>
      <c r="H22" s="150" t="s">
        <v>20</v>
      </c>
      <c r="I22" s="150" t="s">
        <v>20</v>
      </c>
      <c r="J22" s="150" t="s">
        <v>20</v>
      </c>
      <c r="K22" s="150" t="s">
        <v>20</v>
      </c>
      <c r="L22" s="174" t="s">
        <v>20</v>
      </c>
      <c r="M22" s="150" t="s">
        <v>20</v>
      </c>
      <c r="N22" s="150"/>
      <c r="O22" s="174" t="s">
        <v>20</v>
      </c>
      <c r="P22" s="174" t="s">
        <v>20</v>
      </c>
      <c r="Q22" s="174" t="s">
        <v>20</v>
      </c>
      <c r="R22" s="150" t="s">
        <v>20</v>
      </c>
      <c r="S22" s="150"/>
      <c r="T22" s="150" t="s">
        <v>20</v>
      </c>
      <c r="U22" s="174" t="s">
        <v>20</v>
      </c>
      <c r="V22" s="174" t="s">
        <v>20</v>
      </c>
      <c r="W22" s="150"/>
      <c r="X22" s="48" t="str">
        <f t="shared" si="1"/>
        <v>0,00%</v>
      </c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0"/>
      <c r="AQ22" s="150"/>
      <c r="AR22" s="150"/>
      <c r="AS22" s="48" t="str">
        <f t="shared" si="2"/>
        <v>0,00%</v>
      </c>
      <c r="AT22" s="174" t="s">
        <v>20</v>
      </c>
      <c r="AU22" s="150"/>
      <c r="AV22" s="150"/>
      <c r="AW22" s="150"/>
      <c r="AX22" s="174" t="s">
        <v>20</v>
      </c>
      <c r="AY22" s="49"/>
      <c r="AZ22" s="150"/>
      <c r="BA22" s="48" t="str">
        <f t="shared" si="3"/>
        <v>0,00%</v>
      </c>
      <c r="BB22" s="150"/>
      <c r="BC22" s="150"/>
      <c r="BD22" s="150"/>
      <c r="BE22" s="150"/>
      <c r="BF22" s="150"/>
      <c r="BG22" s="74" t="s">
        <v>18</v>
      </c>
      <c r="BH22" s="150"/>
      <c r="BI22" s="74" t="s">
        <v>18</v>
      </c>
      <c r="BJ22" s="150"/>
      <c r="BK22" s="74" t="s">
        <v>18</v>
      </c>
      <c r="BL22" s="74" t="s">
        <v>18</v>
      </c>
      <c r="BM22" s="150"/>
      <c r="BN22" s="175" t="s">
        <v>18</v>
      </c>
      <c r="BO22" s="150"/>
      <c r="BP22" s="49" t="s">
        <v>18</v>
      </c>
      <c r="BQ22" s="150"/>
      <c r="BR22" s="150"/>
      <c r="BS22" s="150"/>
      <c r="BT22" s="150"/>
      <c r="BU22" s="150"/>
      <c r="BV22" s="74" t="s">
        <v>18</v>
      </c>
      <c r="BW22" s="49" t="s">
        <v>18</v>
      </c>
      <c r="BX22" s="48" t="str">
        <f t="shared" si="4"/>
        <v>0,00%</v>
      </c>
    </row>
    <row r="23">
      <c r="A23" s="24">
        <v>19.0</v>
      </c>
      <c r="B23" s="121"/>
      <c r="C23" s="58"/>
      <c r="D23" s="16" t="s">
        <v>16</v>
      </c>
      <c r="E23" s="16" t="s">
        <v>15</v>
      </c>
      <c r="F23" s="16" t="s">
        <v>16</v>
      </c>
      <c r="G23" s="16" t="s">
        <v>15</v>
      </c>
      <c r="H23" s="16" t="s">
        <v>16</v>
      </c>
      <c r="I23" s="154" t="s">
        <v>16</v>
      </c>
      <c r="J23" s="154" t="s">
        <v>15</v>
      </c>
      <c r="K23" s="154" t="s">
        <v>16</v>
      </c>
      <c r="L23" s="16" t="s">
        <v>16</v>
      </c>
      <c r="M23" s="16" t="s">
        <v>15</v>
      </c>
      <c r="N23" s="16" t="s">
        <v>15</v>
      </c>
      <c r="O23" s="16" t="s">
        <v>15</v>
      </c>
      <c r="P23" s="16" t="s">
        <v>15</v>
      </c>
      <c r="Q23" s="16" t="s">
        <v>15</v>
      </c>
      <c r="R23" s="16" t="s">
        <v>15</v>
      </c>
      <c r="S23" s="16" t="s">
        <v>16</v>
      </c>
      <c r="T23" s="16" t="s">
        <v>15</v>
      </c>
      <c r="U23" s="16" t="s">
        <v>15</v>
      </c>
      <c r="V23" s="16" t="s">
        <v>16</v>
      </c>
      <c r="W23" s="16" t="s">
        <v>16</v>
      </c>
      <c r="X23" s="22">
        <f t="shared" si="1"/>
        <v>0.55</v>
      </c>
      <c r="Y23" s="16" t="s">
        <v>16</v>
      </c>
      <c r="Z23" s="16" t="s">
        <v>15</v>
      </c>
      <c r="AA23" s="16" t="s">
        <v>16</v>
      </c>
      <c r="AB23" s="16" t="s">
        <v>15</v>
      </c>
      <c r="AC23" s="16" t="s">
        <v>15</v>
      </c>
      <c r="AD23" s="16" t="s">
        <v>15</v>
      </c>
      <c r="AE23" s="16" t="s">
        <v>16</v>
      </c>
      <c r="AF23" s="16" t="s">
        <v>15</v>
      </c>
      <c r="AG23" s="16" t="s">
        <v>16</v>
      </c>
      <c r="AH23" s="16" t="s">
        <v>15</v>
      </c>
      <c r="AI23" s="16" t="s">
        <v>15</v>
      </c>
      <c r="AJ23" s="16" t="s">
        <v>15</v>
      </c>
      <c r="AK23" s="16" t="s">
        <v>16</v>
      </c>
      <c r="AL23" s="16" t="s">
        <v>15</v>
      </c>
      <c r="AM23" s="16" t="s">
        <v>16</v>
      </c>
      <c r="AN23" s="16" t="s">
        <v>15</v>
      </c>
      <c r="AO23" s="16" t="s">
        <v>16</v>
      </c>
      <c r="AP23" s="16" t="s">
        <v>15</v>
      </c>
      <c r="AQ23" s="16" t="s">
        <v>16</v>
      </c>
      <c r="AR23" s="16" t="s">
        <v>16</v>
      </c>
      <c r="AS23" s="22">
        <f t="shared" si="2"/>
        <v>0.55</v>
      </c>
      <c r="AT23" s="16" t="s">
        <v>15</v>
      </c>
      <c r="AU23" s="16" t="s">
        <v>15</v>
      </c>
      <c r="AV23" s="16" t="s">
        <v>15</v>
      </c>
      <c r="AW23" s="16" t="s">
        <v>15</v>
      </c>
      <c r="AX23" s="16" t="s">
        <v>15</v>
      </c>
      <c r="AY23" s="43" t="s">
        <v>15</v>
      </c>
      <c r="AZ23" s="16" t="s">
        <v>15</v>
      </c>
      <c r="BA23" s="22">
        <f t="shared" si="3"/>
        <v>1</v>
      </c>
      <c r="BB23" s="16" t="s">
        <v>15</v>
      </c>
      <c r="BC23" s="16"/>
      <c r="BD23" s="16"/>
      <c r="BE23" s="16"/>
      <c r="BF23" s="16"/>
      <c r="BG23" s="71" t="s">
        <v>15</v>
      </c>
      <c r="BH23" s="16"/>
      <c r="BI23" s="71" t="s">
        <v>15</v>
      </c>
      <c r="BJ23" s="21"/>
      <c r="BK23" s="51" t="s">
        <v>16</v>
      </c>
      <c r="BL23" s="65" t="s">
        <v>15</v>
      </c>
      <c r="BM23" s="16" t="s">
        <v>15</v>
      </c>
      <c r="BN23" s="170" t="s">
        <v>15</v>
      </c>
      <c r="BO23" s="16" t="s">
        <v>15</v>
      </c>
      <c r="BP23" s="60" t="s">
        <v>15</v>
      </c>
      <c r="BQ23" s="21"/>
      <c r="BR23" s="43" t="s">
        <v>15</v>
      </c>
      <c r="BS23" s="21"/>
      <c r="BT23" s="21"/>
      <c r="BU23" s="16" t="s">
        <v>15</v>
      </c>
      <c r="BV23" s="65" t="s">
        <v>15</v>
      </c>
      <c r="BW23" s="77" t="s">
        <v>16</v>
      </c>
      <c r="BX23" s="22">
        <f t="shared" si="4"/>
        <v>0.8461538462</v>
      </c>
    </row>
    <row r="24">
      <c r="A24" s="24">
        <v>20.0</v>
      </c>
      <c r="B24" s="55"/>
      <c r="C24" s="58"/>
      <c r="D24" s="16" t="s">
        <v>15</v>
      </c>
      <c r="E24" s="16" t="s">
        <v>15</v>
      </c>
      <c r="F24" s="16" t="s">
        <v>16</v>
      </c>
      <c r="G24" s="16" t="s">
        <v>15</v>
      </c>
      <c r="H24" s="154" t="s">
        <v>15</v>
      </c>
      <c r="I24" s="154" t="s">
        <v>15</v>
      </c>
      <c r="J24" s="154" t="s">
        <v>15</v>
      </c>
      <c r="K24" s="154" t="s">
        <v>15</v>
      </c>
      <c r="L24" s="16" t="s">
        <v>15</v>
      </c>
      <c r="M24" s="16" t="s">
        <v>15</v>
      </c>
      <c r="N24" s="16" t="s">
        <v>15</v>
      </c>
      <c r="O24" s="16" t="s">
        <v>15</v>
      </c>
      <c r="P24" s="16" t="s">
        <v>15</v>
      </c>
      <c r="Q24" s="16" t="s">
        <v>15</v>
      </c>
      <c r="R24" s="16" t="s">
        <v>15</v>
      </c>
      <c r="S24" s="16" t="s">
        <v>15</v>
      </c>
      <c r="T24" s="16" t="s">
        <v>15</v>
      </c>
      <c r="U24" s="16" t="s">
        <v>15</v>
      </c>
      <c r="V24" s="16" t="s">
        <v>15</v>
      </c>
      <c r="W24" s="16" t="s">
        <v>15</v>
      </c>
      <c r="X24" s="22">
        <f t="shared" si="1"/>
        <v>0.95</v>
      </c>
      <c r="Y24" s="16" t="s">
        <v>15</v>
      </c>
      <c r="Z24" s="16" t="s">
        <v>15</v>
      </c>
      <c r="AA24" s="16" t="s">
        <v>15</v>
      </c>
      <c r="AB24" s="16" t="s">
        <v>15</v>
      </c>
      <c r="AC24" s="16" t="s">
        <v>15</v>
      </c>
      <c r="AD24" s="16" t="s">
        <v>15</v>
      </c>
      <c r="AE24" s="16" t="s">
        <v>15</v>
      </c>
      <c r="AF24" s="16" t="s">
        <v>15</v>
      </c>
      <c r="AG24" s="16" t="s">
        <v>15</v>
      </c>
      <c r="AH24" s="16" t="s">
        <v>15</v>
      </c>
      <c r="AI24" s="16" t="s">
        <v>15</v>
      </c>
      <c r="AJ24" s="16" t="s">
        <v>15</v>
      </c>
      <c r="AK24" s="16" t="s">
        <v>15</v>
      </c>
      <c r="AL24" s="16" t="s">
        <v>15</v>
      </c>
      <c r="AM24" s="143" t="s">
        <v>15</v>
      </c>
      <c r="AN24" s="16" t="s">
        <v>15</v>
      </c>
      <c r="AO24" s="16" t="s">
        <v>15</v>
      </c>
      <c r="AP24" s="16" t="s">
        <v>15</v>
      </c>
      <c r="AQ24" s="16" t="s">
        <v>15</v>
      </c>
      <c r="AR24" s="16" t="s">
        <v>15</v>
      </c>
      <c r="AS24" s="22">
        <f t="shared" si="2"/>
        <v>1</v>
      </c>
      <c r="AT24" s="16" t="s">
        <v>15</v>
      </c>
      <c r="AU24" s="16" t="s">
        <v>15</v>
      </c>
      <c r="AV24" s="16" t="s">
        <v>15</v>
      </c>
      <c r="AW24" s="16" t="s">
        <v>15</v>
      </c>
      <c r="AX24" s="16" t="s">
        <v>15</v>
      </c>
      <c r="AY24" s="43" t="s">
        <v>15</v>
      </c>
      <c r="AZ24" s="16" t="s">
        <v>15</v>
      </c>
      <c r="BA24" s="22">
        <f t="shared" si="3"/>
        <v>1</v>
      </c>
      <c r="BB24" s="16" t="s">
        <v>15</v>
      </c>
      <c r="BC24" s="16"/>
      <c r="BD24" s="16"/>
      <c r="BE24" s="16"/>
      <c r="BF24" s="16"/>
      <c r="BG24" s="71" t="s">
        <v>15</v>
      </c>
      <c r="BH24" s="16"/>
      <c r="BI24" s="71" t="s">
        <v>15</v>
      </c>
      <c r="BJ24" s="21"/>
      <c r="BK24" s="65" t="s">
        <v>15</v>
      </c>
      <c r="BL24" s="65" t="s">
        <v>15</v>
      </c>
      <c r="BM24" s="16" t="s">
        <v>15</v>
      </c>
      <c r="BN24" s="170" t="s">
        <v>15</v>
      </c>
      <c r="BO24" s="16" t="s">
        <v>15</v>
      </c>
      <c r="BP24" s="60" t="s">
        <v>15</v>
      </c>
      <c r="BQ24" s="21"/>
      <c r="BR24" s="43" t="s">
        <v>15</v>
      </c>
      <c r="BS24" s="21"/>
      <c r="BT24" s="21"/>
      <c r="BU24" s="16" t="s">
        <v>15</v>
      </c>
      <c r="BV24" s="65" t="s">
        <v>15</v>
      </c>
      <c r="BW24" s="77" t="s">
        <v>16</v>
      </c>
      <c r="BX24" s="22">
        <f t="shared" si="4"/>
        <v>0.9230769231</v>
      </c>
    </row>
    <row r="25">
      <c r="A25" s="24">
        <v>21.0</v>
      </c>
      <c r="B25" s="105"/>
      <c r="C25" s="151" t="s">
        <v>44</v>
      </c>
      <c r="D25" s="150" t="s">
        <v>20</v>
      </c>
      <c r="E25" s="150" t="s">
        <v>20</v>
      </c>
      <c r="F25" s="150" t="s">
        <v>20</v>
      </c>
      <c r="G25" s="150" t="s">
        <v>20</v>
      </c>
      <c r="H25" s="150" t="s">
        <v>20</v>
      </c>
      <c r="I25" s="150" t="s">
        <v>20</v>
      </c>
      <c r="J25" s="150" t="s">
        <v>20</v>
      </c>
      <c r="K25" s="150" t="s">
        <v>20</v>
      </c>
      <c r="L25" s="174" t="s">
        <v>20</v>
      </c>
      <c r="M25" s="150" t="s">
        <v>20</v>
      </c>
      <c r="N25" s="150"/>
      <c r="O25" s="150"/>
      <c r="P25" s="150"/>
      <c r="Q25" s="174" t="s">
        <v>20</v>
      </c>
      <c r="R25" s="150" t="s">
        <v>20</v>
      </c>
      <c r="S25" s="150"/>
      <c r="T25" s="150" t="s">
        <v>20</v>
      </c>
      <c r="U25" s="174" t="s">
        <v>20</v>
      </c>
      <c r="V25" s="174" t="s">
        <v>20</v>
      </c>
      <c r="W25" s="150"/>
      <c r="X25" s="48" t="str">
        <f t="shared" si="1"/>
        <v>0,00%</v>
      </c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48" t="str">
        <f t="shared" si="2"/>
        <v>0,00%</v>
      </c>
      <c r="AT25" s="174" t="s">
        <v>20</v>
      </c>
      <c r="AU25" s="150"/>
      <c r="AV25" s="150"/>
      <c r="AW25" s="150"/>
      <c r="AX25" s="174" t="s">
        <v>20</v>
      </c>
      <c r="AY25" s="49"/>
      <c r="AZ25" s="150"/>
      <c r="BA25" s="48" t="str">
        <f t="shared" si="3"/>
        <v>0,00%</v>
      </c>
      <c r="BB25" s="150"/>
      <c r="BC25" s="150"/>
      <c r="BD25" s="150"/>
      <c r="BE25" s="150"/>
      <c r="BF25" s="150"/>
      <c r="BG25" s="74" t="s">
        <v>18</v>
      </c>
      <c r="BH25" s="150"/>
      <c r="BI25" s="74" t="s">
        <v>18</v>
      </c>
      <c r="BJ25" s="150"/>
      <c r="BK25" s="74" t="s">
        <v>18</v>
      </c>
      <c r="BL25" s="74" t="s">
        <v>18</v>
      </c>
      <c r="BM25" s="150"/>
      <c r="BN25" s="175" t="s">
        <v>18</v>
      </c>
      <c r="BO25" s="150"/>
      <c r="BP25" s="49" t="s">
        <v>18</v>
      </c>
      <c r="BQ25" s="150"/>
      <c r="BR25" s="150"/>
      <c r="BS25" s="150"/>
      <c r="BT25" s="150"/>
      <c r="BU25" s="150"/>
      <c r="BV25" s="74" t="s">
        <v>18</v>
      </c>
      <c r="BW25" s="49" t="s">
        <v>18</v>
      </c>
      <c r="BX25" s="48" t="str">
        <f t="shared" si="4"/>
        <v>0,00%</v>
      </c>
    </row>
    <row r="26">
      <c r="A26" s="24">
        <v>22.0</v>
      </c>
      <c r="B26" s="91"/>
      <c r="C26" s="63"/>
      <c r="D26" s="16" t="s">
        <v>15</v>
      </c>
      <c r="E26" s="16" t="s">
        <v>15</v>
      </c>
      <c r="F26" s="16" t="s">
        <v>15</v>
      </c>
      <c r="G26" s="16" t="s">
        <v>15</v>
      </c>
      <c r="H26" s="154" t="s">
        <v>15</v>
      </c>
      <c r="I26" s="154" t="s">
        <v>15</v>
      </c>
      <c r="J26" s="154" t="s">
        <v>15</v>
      </c>
      <c r="K26" s="154" t="s">
        <v>16</v>
      </c>
      <c r="L26" s="16" t="s">
        <v>15</v>
      </c>
      <c r="M26" s="16" t="s">
        <v>15</v>
      </c>
      <c r="N26" s="16" t="s">
        <v>15</v>
      </c>
      <c r="O26" s="16" t="s">
        <v>15</v>
      </c>
      <c r="P26" s="16" t="s">
        <v>16</v>
      </c>
      <c r="Q26" s="17" t="s">
        <v>15</v>
      </c>
      <c r="R26" s="16" t="s">
        <v>15</v>
      </c>
      <c r="S26" s="17" t="s">
        <v>15</v>
      </c>
      <c r="T26" s="16" t="s">
        <v>15</v>
      </c>
      <c r="U26" s="17" t="s">
        <v>15</v>
      </c>
      <c r="V26" s="17" t="s">
        <v>16</v>
      </c>
      <c r="W26" s="17" t="s">
        <v>15</v>
      </c>
      <c r="X26" s="22">
        <f t="shared" si="1"/>
        <v>0.85</v>
      </c>
      <c r="Y26" s="16" t="s">
        <v>15</v>
      </c>
      <c r="Z26" s="16" t="s">
        <v>15</v>
      </c>
      <c r="AA26" s="16" t="s">
        <v>15</v>
      </c>
      <c r="AB26" s="16" t="s">
        <v>15</v>
      </c>
      <c r="AC26" s="16" t="s">
        <v>15</v>
      </c>
      <c r="AD26" s="16" t="s">
        <v>15</v>
      </c>
      <c r="AE26" s="16" t="s">
        <v>15</v>
      </c>
      <c r="AF26" s="16" t="s">
        <v>15</v>
      </c>
      <c r="AG26" s="16" t="s">
        <v>16</v>
      </c>
      <c r="AH26" s="16" t="s">
        <v>15</v>
      </c>
      <c r="AI26" s="16" t="s">
        <v>15</v>
      </c>
      <c r="AJ26" s="16" t="s">
        <v>15</v>
      </c>
      <c r="AK26" s="16" t="s">
        <v>15</v>
      </c>
      <c r="AL26" s="16" t="s">
        <v>15</v>
      </c>
      <c r="AM26" s="143" t="s">
        <v>15</v>
      </c>
      <c r="AN26" s="16" t="s">
        <v>16</v>
      </c>
      <c r="AO26" s="16" t="s">
        <v>15</v>
      </c>
      <c r="AP26" s="16" t="s">
        <v>15</v>
      </c>
      <c r="AQ26" s="16" t="s">
        <v>15</v>
      </c>
      <c r="AR26" s="16" t="s">
        <v>15</v>
      </c>
      <c r="AS26" s="22">
        <f t="shared" si="2"/>
        <v>0.9</v>
      </c>
      <c r="AT26" s="16" t="s">
        <v>16</v>
      </c>
      <c r="AU26" s="16" t="s">
        <v>16</v>
      </c>
      <c r="AV26" s="16" t="s">
        <v>15</v>
      </c>
      <c r="AW26" s="16" t="s">
        <v>16</v>
      </c>
      <c r="AX26" s="16" t="s">
        <v>15</v>
      </c>
      <c r="AY26" s="43" t="s">
        <v>15</v>
      </c>
      <c r="AZ26" s="16" t="s">
        <v>16</v>
      </c>
      <c r="BA26" s="22">
        <f t="shared" si="3"/>
        <v>0.4285714286</v>
      </c>
      <c r="BB26" s="16" t="s">
        <v>15</v>
      </c>
      <c r="BC26" s="16"/>
      <c r="BD26" s="16"/>
      <c r="BE26" s="16"/>
      <c r="BF26" s="16"/>
      <c r="BG26" s="71" t="s">
        <v>15</v>
      </c>
      <c r="BH26" s="16"/>
      <c r="BI26" s="71" t="s">
        <v>15</v>
      </c>
      <c r="BJ26" s="21"/>
      <c r="BK26" s="65" t="s">
        <v>15</v>
      </c>
      <c r="BL26" s="65" t="s">
        <v>15</v>
      </c>
      <c r="BM26" s="16" t="s">
        <v>15</v>
      </c>
      <c r="BN26" s="170" t="s">
        <v>15</v>
      </c>
      <c r="BO26" s="16" t="s">
        <v>16</v>
      </c>
      <c r="BP26" s="60" t="s">
        <v>15</v>
      </c>
      <c r="BQ26" s="21"/>
      <c r="BR26" s="43" t="s">
        <v>15</v>
      </c>
      <c r="BS26" s="21"/>
      <c r="BT26" s="21"/>
      <c r="BU26" s="16" t="s">
        <v>15</v>
      </c>
      <c r="BV26" s="170" t="s">
        <v>15</v>
      </c>
      <c r="BW26" s="77" t="s">
        <v>16</v>
      </c>
      <c r="BX26" s="22">
        <f t="shared" si="4"/>
        <v>0.8461538462</v>
      </c>
    </row>
    <row r="27">
      <c r="A27" s="24">
        <v>23.0</v>
      </c>
      <c r="B27" s="81"/>
      <c r="C27" s="113"/>
      <c r="D27" s="16" t="s">
        <v>16</v>
      </c>
      <c r="E27" s="16" t="s">
        <v>15</v>
      </c>
      <c r="F27" s="16" t="s">
        <v>15</v>
      </c>
      <c r="G27" s="16" t="s">
        <v>15</v>
      </c>
      <c r="H27" s="154" t="s">
        <v>15</v>
      </c>
      <c r="I27" s="154" t="s">
        <v>16</v>
      </c>
      <c r="J27" s="154" t="s">
        <v>15</v>
      </c>
      <c r="K27" s="154" t="s">
        <v>15</v>
      </c>
      <c r="L27" s="16" t="s">
        <v>15</v>
      </c>
      <c r="M27" s="16" t="s">
        <v>15</v>
      </c>
      <c r="N27" s="16" t="s">
        <v>15</v>
      </c>
      <c r="O27" s="16" t="s">
        <v>15</v>
      </c>
      <c r="P27" s="16" t="s">
        <v>15</v>
      </c>
      <c r="Q27" s="16" t="s">
        <v>16</v>
      </c>
      <c r="R27" s="16" t="s">
        <v>15</v>
      </c>
      <c r="S27" s="16" t="s">
        <v>15</v>
      </c>
      <c r="T27" s="16" t="s">
        <v>15</v>
      </c>
      <c r="U27" s="16" t="s">
        <v>15</v>
      </c>
      <c r="V27" s="16" t="s">
        <v>15</v>
      </c>
      <c r="W27" s="16" t="s">
        <v>15</v>
      </c>
      <c r="X27" s="22">
        <f t="shared" si="1"/>
        <v>0.85</v>
      </c>
      <c r="Y27" s="16" t="s">
        <v>15</v>
      </c>
      <c r="Z27" s="16" t="s">
        <v>16</v>
      </c>
      <c r="AA27" s="16" t="s">
        <v>15</v>
      </c>
      <c r="AB27" s="16" t="s">
        <v>15</v>
      </c>
      <c r="AC27" s="16" t="s">
        <v>15</v>
      </c>
      <c r="AD27" s="16" t="s">
        <v>15</v>
      </c>
      <c r="AE27" s="16" t="s">
        <v>15</v>
      </c>
      <c r="AF27" s="16" t="s">
        <v>15</v>
      </c>
      <c r="AG27" s="16" t="s">
        <v>16</v>
      </c>
      <c r="AH27" s="16" t="s">
        <v>15</v>
      </c>
      <c r="AI27" s="16" t="s">
        <v>15</v>
      </c>
      <c r="AJ27" s="16" t="s">
        <v>15</v>
      </c>
      <c r="AK27" s="16" t="s">
        <v>15</v>
      </c>
      <c r="AL27" s="16" t="s">
        <v>15</v>
      </c>
      <c r="AM27" s="143" t="s">
        <v>15</v>
      </c>
      <c r="AN27" s="16" t="s">
        <v>16</v>
      </c>
      <c r="AO27" s="16" t="s">
        <v>15</v>
      </c>
      <c r="AP27" s="16" t="s">
        <v>15</v>
      </c>
      <c r="AQ27" s="16" t="s">
        <v>16</v>
      </c>
      <c r="AR27" s="16" t="s">
        <v>15</v>
      </c>
      <c r="AS27" s="22">
        <f t="shared" si="2"/>
        <v>0.8</v>
      </c>
      <c r="AT27" s="16" t="s">
        <v>15</v>
      </c>
      <c r="AU27" s="16" t="s">
        <v>15</v>
      </c>
      <c r="AV27" s="16" t="s">
        <v>15</v>
      </c>
      <c r="AW27" s="16" t="s">
        <v>15</v>
      </c>
      <c r="AX27" s="16" t="s">
        <v>15</v>
      </c>
      <c r="AY27" s="43" t="s">
        <v>15</v>
      </c>
      <c r="AZ27" s="16" t="s">
        <v>15</v>
      </c>
      <c r="BA27" s="22">
        <f t="shared" si="3"/>
        <v>1</v>
      </c>
      <c r="BB27" s="16" t="s">
        <v>15</v>
      </c>
      <c r="BC27" s="16"/>
      <c r="BD27" s="16"/>
      <c r="BE27" s="16"/>
      <c r="BF27" s="16"/>
      <c r="BG27" s="71" t="s">
        <v>15</v>
      </c>
      <c r="BH27" s="16"/>
      <c r="BI27" s="71" t="s">
        <v>15</v>
      </c>
      <c r="BJ27" s="16"/>
      <c r="BK27" s="71" t="s">
        <v>15</v>
      </c>
      <c r="BL27" s="85" t="s">
        <v>16</v>
      </c>
      <c r="BM27" s="16" t="s">
        <v>15</v>
      </c>
      <c r="BN27" s="162" t="s">
        <v>15</v>
      </c>
      <c r="BO27" s="16" t="s">
        <v>15</v>
      </c>
      <c r="BP27" s="43" t="s">
        <v>15</v>
      </c>
      <c r="BQ27" s="16"/>
      <c r="BR27" s="43" t="s">
        <v>15</v>
      </c>
      <c r="BS27" s="16"/>
      <c r="BT27" s="16"/>
      <c r="BU27" s="16" t="s">
        <v>15</v>
      </c>
      <c r="BV27" s="162" t="s">
        <v>15</v>
      </c>
      <c r="BW27" s="159" t="s">
        <v>16</v>
      </c>
      <c r="BX27" s="22">
        <f t="shared" si="4"/>
        <v>0.8461538462</v>
      </c>
    </row>
    <row r="28">
      <c r="A28" s="24">
        <v>24.0</v>
      </c>
      <c r="B28" s="91"/>
      <c r="C28" s="63"/>
      <c r="D28" s="16" t="s">
        <v>15</v>
      </c>
      <c r="E28" s="16" t="s">
        <v>15</v>
      </c>
      <c r="F28" s="16" t="s">
        <v>15</v>
      </c>
      <c r="G28" s="16" t="s">
        <v>15</v>
      </c>
      <c r="H28" s="154" t="s">
        <v>15</v>
      </c>
      <c r="I28" s="154" t="s">
        <v>16</v>
      </c>
      <c r="J28" s="154" t="s">
        <v>15</v>
      </c>
      <c r="K28" s="154" t="s">
        <v>15</v>
      </c>
      <c r="L28" s="154" t="s">
        <v>15</v>
      </c>
      <c r="M28" s="154" t="s">
        <v>16</v>
      </c>
      <c r="N28" s="154" t="s">
        <v>15</v>
      </c>
      <c r="O28" s="16" t="s">
        <v>16</v>
      </c>
      <c r="P28" s="16" t="s">
        <v>15</v>
      </c>
      <c r="Q28" s="17" t="s">
        <v>15</v>
      </c>
      <c r="R28" s="16" t="s">
        <v>15</v>
      </c>
      <c r="S28" s="17" t="s">
        <v>15</v>
      </c>
      <c r="T28" s="16" t="s">
        <v>15</v>
      </c>
      <c r="U28" s="17" t="s">
        <v>15</v>
      </c>
      <c r="V28" s="17" t="s">
        <v>16</v>
      </c>
      <c r="W28" s="17" t="s">
        <v>15</v>
      </c>
      <c r="X28" s="22">
        <f t="shared" si="1"/>
        <v>0.8</v>
      </c>
      <c r="Y28" s="16" t="s">
        <v>16</v>
      </c>
      <c r="Z28" s="16" t="s">
        <v>16</v>
      </c>
      <c r="AA28" s="16" t="s">
        <v>15</v>
      </c>
      <c r="AB28" s="16" t="s">
        <v>15</v>
      </c>
      <c r="AC28" s="16" t="s">
        <v>15</v>
      </c>
      <c r="AD28" s="16" t="s">
        <v>16</v>
      </c>
      <c r="AE28" s="16" t="s">
        <v>16</v>
      </c>
      <c r="AF28" s="16" t="s">
        <v>15</v>
      </c>
      <c r="AG28" s="16" t="s">
        <v>16</v>
      </c>
      <c r="AH28" s="16" t="s">
        <v>15</v>
      </c>
      <c r="AI28" s="16" t="s">
        <v>15</v>
      </c>
      <c r="AJ28" s="16" t="s">
        <v>16</v>
      </c>
      <c r="AK28" s="16" t="s">
        <v>15</v>
      </c>
      <c r="AL28" s="16" t="s">
        <v>16</v>
      </c>
      <c r="AM28" s="16" t="s">
        <v>16</v>
      </c>
      <c r="AN28" s="16" t="s">
        <v>16</v>
      </c>
      <c r="AO28" s="16" t="s">
        <v>16</v>
      </c>
      <c r="AP28" s="16" t="s">
        <v>16</v>
      </c>
      <c r="AQ28" s="16" t="s">
        <v>15</v>
      </c>
      <c r="AR28" s="16" t="s">
        <v>15</v>
      </c>
      <c r="AS28" s="22">
        <f t="shared" si="2"/>
        <v>0.45</v>
      </c>
      <c r="AT28" s="16" t="s">
        <v>15</v>
      </c>
      <c r="AU28" s="16" t="s">
        <v>15</v>
      </c>
      <c r="AV28" s="16" t="s">
        <v>16</v>
      </c>
      <c r="AW28" s="16" t="s">
        <v>15</v>
      </c>
      <c r="AX28" s="16" t="s">
        <v>15</v>
      </c>
      <c r="AY28" s="159" t="s">
        <v>16</v>
      </c>
      <c r="AZ28" s="16" t="s">
        <v>15</v>
      </c>
      <c r="BA28" s="22">
        <f t="shared" si="3"/>
        <v>0.7142857143</v>
      </c>
      <c r="BB28" s="16" t="s">
        <v>16</v>
      </c>
      <c r="BC28" s="16"/>
      <c r="BD28" s="16"/>
      <c r="BE28" s="16"/>
      <c r="BF28" s="16"/>
      <c r="BG28" s="71" t="s">
        <v>15</v>
      </c>
      <c r="BH28" s="16"/>
      <c r="BI28" s="71" t="s">
        <v>15</v>
      </c>
      <c r="BJ28" s="21"/>
      <c r="BK28" s="65" t="s">
        <v>15</v>
      </c>
      <c r="BL28" s="65" t="s">
        <v>15</v>
      </c>
      <c r="BM28" s="16" t="s">
        <v>15</v>
      </c>
      <c r="BN28" s="170" t="s">
        <v>15</v>
      </c>
      <c r="BO28" s="16" t="s">
        <v>15</v>
      </c>
      <c r="BP28" s="60" t="s">
        <v>15</v>
      </c>
      <c r="BQ28" s="21"/>
      <c r="BR28" s="77" t="s">
        <v>16</v>
      </c>
      <c r="BS28" s="21"/>
      <c r="BT28" s="21"/>
      <c r="BU28" s="16" t="s">
        <v>15</v>
      </c>
      <c r="BV28" s="170" t="s">
        <v>15</v>
      </c>
      <c r="BW28" s="77" t="s">
        <v>16</v>
      </c>
      <c r="BX28" s="22">
        <f t="shared" si="4"/>
        <v>0.7692307692</v>
      </c>
    </row>
    <row r="29">
      <c r="A29" s="24">
        <v>25.0</v>
      </c>
      <c r="B29" s="81"/>
      <c r="C29" s="112" t="s">
        <v>32</v>
      </c>
      <c r="D29" s="16" t="s">
        <v>16</v>
      </c>
      <c r="E29" s="16" t="s">
        <v>15</v>
      </c>
      <c r="F29" s="16" t="s">
        <v>15</v>
      </c>
      <c r="G29" s="16" t="s">
        <v>15</v>
      </c>
      <c r="H29" s="154" t="s">
        <v>15</v>
      </c>
      <c r="I29" s="154" t="s">
        <v>15</v>
      </c>
      <c r="J29" s="154" t="s">
        <v>15</v>
      </c>
      <c r="K29" s="154" t="s">
        <v>15</v>
      </c>
      <c r="L29" s="154" t="s">
        <v>15</v>
      </c>
      <c r="M29" s="16" t="s">
        <v>15</v>
      </c>
      <c r="N29" s="154" t="s">
        <v>15</v>
      </c>
      <c r="O29" s="16" t="s">
        <v>15</v>
      </c>
      <c r="P29" s="16" t="s">
        <v>15</v>
      </c>
      <c r="Q29" s="17" t="s">
        <v>16</v>
      </c>
      <c r="R29" s="17" t="s">
        <v>16</v>
      </c>
      <c r="S29" s="17" t="s">
        <v>15</v>
      </c>
      <c r="T29" s="16" t="s">
        <v>15</v>
      </c>
      <c r="U29" s="17" t="s">
        <v>15</v>
      </c>
      <c r="V29" s="17" t="s">
        <v>15</v>
      </c>
      <c r="W29" s="17" t="s">
        <v>15</v>
      </c>
      <c r="X29" s="22">
        <f t="shared" si="1"/>
        <v>0.85</v>
      </c>
      <c r="Y29" s="16" t="s">
        <v>15</v>
      </c>
      <c r="Z29" s="16" t="s">
        <v>15</v>
      </c>
      <c r="AA29" s="16" t="s">
        <v>15</v>
      </c>
      <c r="AB29" s="16" t="s">
        <v>15</v>
      </c>
      <c r="AC29" s="16" t="s">
        <v>15</v>
      </c>
      <c r="AD29" s="16" t="s">
        <v>15</v>
      </c>
      <c r="AE29" s="16" t="s">
        <v>15</v>
      </c>
      <c r="AF29" s="16" t="s">
        <v>15</v>
      </c>
      <c r="AG29" s="16" t="s">
        <v>15</v>
      </c>
      <c r="AH29" s="16" t="s">
        <v>16</v>
      </c>
      <c r="AI29" s="16" t="s">
        <v>15</v>
      </c>
      <c r="AJ29" s="16" t="s">
        <v>15</v>
      </c>
      <c r="AK29" s="16" t="s">
        <v>15</v>
      </c>
      <c r="AL29" s="16" t="s">
        <v>15</v>
      </c>
      <c r="AM29" s="143" t="s">
        <v>15</v>
      </c>
      <c r="AN29" s="16" t="s">
        <v>15</v>
      </c>
      <c r="AO29" s="16" t="s">
        <v>15</v>
      </c>
      <c r="AP29" s="16" t="s">
        <v>15</v>
      </c>
      <c r="AQ29" s="16" t="s">
        <v>15</v>
      </c>
      <c r="AR29" s="16" t="s">
        <v>16</v>
      </c>
      <c r="AS29" s="22">
        <f t="shared" si="2"/>
        <v>0.9</v>
      </c>
      <c r="AT29" s="16" t="s">
        <v>15</v>
      </c>
      <c r="AU29" s="16" t="s">
        <v>15</v>
      </c>
      <c r="AV29" s="16" t="s">
        <v>15</v>
      </c>
      <c r="AW29" s="16" t="s">
        <v>15</v>
      </c>
      <c r="AX29" s="16" t="s">
        <v>15</v>
      </c>
      <c r="AY29" s="43" t="s">
        <v>15</v>
      </c>
      <c r="AZ29" s="16" t="s">
        <v>15</v>
      </c>
      <c r="BA29" s="22">
        <f t="shared" si="3"/>
        <v>1</v>
      </c>
      <c r="BB29" s="16" t="s">
        <v>15</v>
      </c>
      <c r="BC29" s="16"/>
      <c r="BD29" s="16"/>
      <c r="BE29" s="16"/>
      <c r="BF29" s="16"/>
      <c r="BG29" s="71" t="s">
        <v>15</v>
      </c>
      <c r="BH29" s="16"/>
      <c r="BI29" s="71" t="s">
        <v>15</v>
      </c>
      <c r="BJ29" s="21"/>
      <c r="BK29" s="65" t="s">
        <v>15</v>
      </c>
      <c r="BL29" s="65" t="s">
        <v>15</v>
      </c>
      <c r="BM29" s="16" t="s">
        <v>15</v>
      </c>
      <c r="BN29" s="170" t="s">
        <v>15</v>
      </c>
      <c r="BO29" s="16" t="s">
        <v>15</v>
      </c>
      <c r="BP29" s="60" t="s">
        <v>15</v>
      </c>
      <c r="BQ29" s="21"/>
      <c r="BR29" s="43" t="s">
        <v>15</v>
      </c>
      <c r="BS29" s="21"/>
      <c r="BT29" s="21"/>
      <c r="BU29" s="16" t="s">
        <v>15</v>
      </c>
      <c r="BV29" s="170" t="s">
        <v>15</v>
      </c>
      <c r="BW29" s="60" t="s">
        <v>15</v>
      </c>
      <c r="BX29" s="22">
        <f t="shared" si="4"/>
        <v>1</v>
      </c>
    </row>
    <row r="30">
      <c r="A30" s="16">
        <v>26.0</v>
      </c>
      <c r="B30" s="25"/>
      <c r="C30" s="63"/>
      <c r="D30" s="16" t="s">
        <v>15</v>
      </c>
      <c r="E30" s="16" t="s">
        <v>15</v>
      </c>
      <c r="F30" s="16" t="s">
        <v>16</v>
      </c>
      <c r="G30" s="16" t="s">
        <v>15</v>
      </c>
      <c r="H30" s="16" t="s">
        <v>16</v>
      </c>
      <c r="I30" s="154" t="s">
        <v>15</v>
      </c>
      <c r="J30" s="154" t="s">
        <v>15</v>
      </c>
      <c r="K30" s="154" t="s">
        <v>15</v>
      </c>
      <c r="L30" s="154" t="s">
        <v>15</v>
      </c>
      <c r="M30" s="154" t="s">
        <v>16</v>
      </c>
      <c r="N30" s="154" t="s">
        <v>15</v>
      </c>
      <c r="O30" s="16" t="s">
        <v>15</v>
      </c>
      <c r="P30" s="16" t="s">
        <v>15</v>
      </c>
      <c r="Q30" s="17" t="s">
        <v>15</v>
      </c>
      <c r="R30" s="16" t="s">
        <v>15</v>
      </c>
      <c r="S30" s="17" t="s">
        <v>15</v>
      </c>
      <c r="T30" s="16" t="s">
        <v>15</v>
      </c>
      <c r="U30" s="17" t="s">
        <v>15</v>
      </c>
      <c r="V30" s="17" t="s">
        <v>15</v>
      </c>
      <c r="W30" s="17" t="s">
        <v>15</v>
      </c>
      <c r="X30" s="22">
        <f t="shared" si="1"/>
        <v>0.85</v>
      </c>
      <c r="Y30" s="16" t="s">
        <v>15</v>
      </c>
      <c r="Z30" s="16" t="s">
        <v>15</v>
      </c>
      <c r="AA30" s="16" t="s">
        <v>16</v>
      </c>
      <c r="AB30" s="16" t="s">
        <v>15</v>
      </c>
      <c r="AC30" s="16" t="s">
        <v>15</v>
      </c>
      <c r="AD30" s="16" t="s">
        <v>15</v>
      </c>
      <c r="AE30" s="16" t="s">
        <v>15</v>
      </c>
      <c r="AF30" s="16" t="s">
        <v>15</v>
      </c>
      <c r="AG30" s="16" t="s">
        <v>16</v>
      </c>
      <c r="AH30" s="16" t="s">
        <v>15</v>
      </c>
      <c r="AI30" s="16" t="s">
        <v>15</v>
      </c>
      <c r="AJ30" s="16" t="s">
        <v>15</v>
      </c>
      <c r="AK30" s="16" t="s">
        <v>15</v>
      </c>
      <c r="AL30" s="16" t="s">
        <v>15</v>
      </c>
      <c r="AM30" s="143" t="s">
        <v>15</v>
      </c>
      <c r="AN30" s="16" t="s">
        <v>15</v>
      </c>
      <c r="AO30" s="16" t="s">
        <v>15</v>
      </c>
      <c r="AP30" s="16" t="s">
        <v>15</v>
      </c>
      <c r="AQ30" s="16" t="s">
        <v>16</v>
      </c>
      <c r="AR30" s="16" t="s">
        <v>15</v>
      </c>
      <c r="AS30" s="22">
        <f t="shared" si="2"/>
        <v>0.85</v>
      </c>
      <c r="AT30" s="16" t="s">
        <v>15</v>
      </c>
      <c r="AU30" s="16" t="s">
        <v>16</v>
      </c>
      <c r="AV30" s="16" t="s">
        <v>16</v>
      </c>
      <c r="AW30" s="16" t="s">
        <v>15</v>
      </c>
      <c r="AX30" s="16" t="s">
        <v>15</v>
      </c>
      <c r="AY30" s="159" t="s">
        <v>16</v>
      </c>
      <c r="AZ30" s="16" t="s">
        <v>15</v>
      </c>
      <c r="BA30" s="22">
        <f t="shared" si="3"/>
        <v>0.5714285714</v>
      </c>
      <c r="BB30" s="16" t="s">
        <v>16</v>
      </c>
      <c r="BC30" s="16"/>
      <c r="BD30" s="16"/>
      <c r="BE30" s="16"/>
      <c r="BF30" s="16"/>
      <c r="BG30" s="71" t="s">
        <v>15</v>
      </c>
      <c r="BH30" s="16"/>
      <c r="BI30" s="71" t="s">
        <v>15</v>
      </c>
      <c r="BJ30" s="21"/>
      <c r="BK30" s="51" t="s">
        <v>16</v>
      </c>
      <c r="BL30" s="65" t="s">
        <v>15</v>
      </c>
      <c r="BM30" s="16" t="s">
        <v>15</v>
      </c>
      <c r="BN30" s="170" t="s">
        <v>15</v>
      </c>
      <c r="BO30" s="16" t="s">
        <v>15</v>
      </c>
      <c r="BP30" s="60" t="s">
        <v>15</v>
      </c>
      <c r="BQ30" s="21"/>
      <c r="BR30" s="43" t="s">
        <v>15</v>
      </c>
      <c r="BS30" s="21"/>
      <c r="BT30" s="21"/>
      <c r="BU30" s="16" t="s">
        <v>15</v>
      </c>
      <c r="BV30" s="169" t="s">
        <v>16</v>
      </c>
      <c r="BW30" s="60" t="s">
        <v>15</v>
      </c>
      <c r="BX30" s="22">
        <f t="shared" si="4"/>
        <v>0.7692307692</v>
      </c>
    </row>
    <row r="31">
      <c r="A31" s="16">
        <v>27.0</v>
      </c>
      <c r="B31" s="167"/>
      <c r="C31" s="190" t="s">
        <v>32</v>
      </c>
      <c r="D31" s="16" t="s">
        <v>16</v>
      </c>
      <c r="E31" s="16" t="s">
        <v>15</v>
      </c>
      <c r="F31" s="16" t="s">
        <v>15</v>
      </c>
      <c r="G31" s="16" t="s">
        <v>16</v>
      </c>
      <c r="H31" s="154" t="s">
        <v>16</v>
      </c>
      <c r="I31" s="154" t="s">
        <v>16</v>
      </c>
      <c r="J31" s="154" t="s">
        <v>15</v>
      </c>
      <c r="K31" s="154" t="s">
        <v>15</v>
      </c>
      <c r="L31" s="16" t="s">
        <v>15</v>
      </c>
      <c r="M31" s="16" t="s">
        <v>15</v>
      </c>
      <c r="N31" s="16" t="s">
        <v>15</v>
      </c>
      <c r="O31" s="16" t="s">
        <v>15</v>
      </c>
      <c r="P31" s="16" t="s">
        <v>15</v>
      </c>
      <c r="Q31" s="16" t="s">
        <v>15</v>
      </c>
      <c r="R31" s="16" t="s">
        <v>16</v>
      </c>
      <c r="S31" s="16" t="s">
        <v>15</v>
      </c>
      <c r="T31" s="16" t="s">
        <v>16</v>
      </c>
      <c r="U31" s="16" t="s">
        <v>15</v>
      </c>
      <c r="V31" s="16" t="s">
        <v>15</v>
      </c>
      <c r="W31" s="16" t="s">
        <v>15</v>
      </c>
      <c r="X31" s="22">
        <f t="shared" si="1"/>
        <v>0.7</v>
      </c>
      <c r="Y31" s="16" t="s">
        <v>15</v>
      </c>
      <c r="Z31" s="16" t="s">
        <v>16</v>
      </c>
      <c r="AA31" s="16" t="s">
        <v>15</v>
      </c>
      <c r="AB31" s="16" t="s">
        <v>15</v>
      </c>
      <c r="AC31" s="16" t="s">
        <v>15</v>
      </c>
      <c r="AD31" s="16" t="s">
        <v>15</v>
      </c>
      <c r="AE31" s="16" t="s">
        <v>15</v>
      </c>
      <c r="AF31" s="16" t="s">
        <v>15</v>
      </c>
      <c r="AG31" s="16" t="s">
        <v>16</v>
      </c>
      <c r="AH31" s="16" t="s">
        <v>15</v>
      </c>
      <c r="AI31" s="16" t="s">
        <v>15</v>
      </c>
      <c r="AJ31" s="16" t="s">
        <v>15</v>
      </c>
      <c r="AK31" s="16" t="s">
        <v>15</v>
      </c>
      <c r="AL31" s="16" t="s">
        <v>15</v>
      </c>
      <c r="AM31" s="143" t="s">
        <v>15</v>
      </c>
      <c r="AN31" s="16" t="s">
        <v>16</v>
      </c>
      <c r="AO31" s="16" t="s">
        <v>15</v>
      </c>
      <c r="AP31" s="16" t="s">
        <v>15</v>
      </c>
      <c r="AQ31" s="16" t="s">
        <v>15</v>
      </c>
      <c r="AR31" s="16" t="s">
        <v>15</v>
      </c>
      <c r="AS31" s="22">
        <f t="shared" si="2"/>
        <v>0.85</v>
      </c>
      <c r="AT31" s="16" t="s">
        <v>15</v>
      </c>
      <c r="AU31" s="16" t="s">
        <v>16</v>
      </c>
      <c r="AV31" s="16" t="s">
        <v>15</v>
      </c>
      <c r="AW31" s="16" t="s">
        <v>15</v>
      </c>
      <c r="AX31" s="16" t="s">
        <v>15</v>
      </c>
      <c r="AY31" s="60" t="s">
        <v>15</v>
      </c>
      <c r="AZ31" s="16" t="s">
        <v>16</v>
      </c>
      <c r="BA31" s="22">
        <f t="shared" si="3"/>
        <v>0.7142857143</v>
      </c>
      <c r="BB31" s="16" t="s">
        <v>15</v>
      </c>
      <c r="BC31" s="21"/>
      <c r="BD31" s="21"/>
      <c r="BE31" s="21"/>
      <c r="BF31" s="21"/>
      <c r="BG31" s="65" t="s">
        <v>15</v>
      </c>
      <c r="BH31" s="21"/>
      <c r="BI31" s="65" t="s">
        <v>15</v>
      </c>
      <c r="BJ31" s="21"/>
      <c r="BK31" s="65" t="s">
        <v>15</v>
      </c>
      <c r="BL31" s="65" t="s">
        <v>15</v>
      </c>
      <c r="BM31" s="16" t="s">
        <v>15</v>
      </c>
      <c r="BN31" s="169" t="s">
        <v>16</v>
      </c>
      <c r="BO31" s="16" t="s">
        <v>15</v>
      </c>
      <c r="BP31" s="77" t="s">
        <v>16</v>
      </c>
      <c r="BQ31" s="21"/>
      <c r="BR31" s="43" t="s">
        <v>15</v>
      </c>
      <c r="BS31" s="21"/>
      <c r="BT31" s="21"/>
      <c r="BU31" s="16" t="s">
        <v>15</v>
      </c>
      <c r="BV31" s="170" t="s">
        <v>15</v>
      </c>
      <c r="BW31" s="77" t="s">
        <v>16</v>
      </c>
      <c r="BX31" s="22">
        <f t="shared" si="4"/>
        <v>0.7692307692</v>
      </c>
    </row>
    <row r="32">
      <c r="A32" s="16">
        <v>28.0</v>
      </c>
      <c r="B32" s="193"/>
      <c r="C32" s="63"/>
      <c r="D32" s="16" t="s">
        <v>15</v>
      </c>
      <c r="E32" s="16" t="s">
        <v>15</v>
      </c>
      <c r="F32" s="16" t="s">
        <v>15</v>
      </c>
      <c r="G32" s="16" t="s">
        <v>15</v>
      </c>
      <c r="H32" s="16" t="s">
        <v>16</v>
      </c>
      <c r="I32" s="154" t="s">
        <v>16</v>
      </c>
      <c r="J32" s="154" t="s">
        <v>15</v>
      </c>
      <c r="K32" s="154" t="s">
        <v>15</v>
      </c>
      <c r="L32" s="154" t="s">
        <v>16</v>
      </c>
      <c r="M32" s="154" t="s">
        <v>16</v>
      </c>
      <c r="N32" s="154" t="s">
        <v>15</v>
      </c>
      <c r="O32" s="16" t="s">
        <v>15</v>
      </c>
      <c r="P32" s="16" t="s">
        <v>15</v>
      </c>
      <c r="Q32" s="17" t="s">
        <v>15</v>
      </c>
      <c r="R32" s="17" t="s">
        <v>16</v>
      </c>
      <c r="S32" s="17" t="s">
        <v>16</v>
      </c>
      <c r="T32" s="16" t="s">
        <v>15</v>
      </c>
      <c r="U32" s="17" t="s">
        <v>15</v>
      </c>
      <c r="V32" s="17" t="s">
        <v>16</v>
      </c>
      <c r="W32" s="17" t="s">
        <v>16</v>
      </c>
      <c r="X32" s="22">
        <f t="shared" si="1"/>
        <v>0.6</v>
      </c>
      <c r="Y32" s="16" t="s">
        <v>16</v>
      </c>
      <c r="Z32" s="16" t="s">
        <v>16</v>
      </c>
      <c r="AA32" s="16" t="s">
        <v>15</v>
      </c>
      <c r="AB32" s="16" t="s">
        <v>16</v>
      </c>
      <c r="AC32" s="16" t="s">
        <v>15</v>
      </c>
      <c r="AD32" s="16" t="s">
        <v>15</v>
      </c>
      <c r="AE32" s="16" t="s">
        <v>15</v>
      </c>
      <c r="AF32" s="16" t="s">
        <v>16</v>
      </c>
      <c r="AG32" s="16" t="s">
        <v>15</v>
      </c>
      <c r="AH32" s="16" t="s">
        <v>15</v>
      </c>
      <c r="AI32" s="16" t="s">
        <v>16</v>
      </c>
      <c r="AJ32" s="16" t="s">
        <v>15</v>
      </c>
      <c r="AK32" s="16" t="s">
        <v>15</v>
      </c>
      <c r="AL32" s="16" t="s">
        <v>16</v>
      </c>
      <c r="AM32" s="16" t="s">
        <v>16</v>
      </c>
      <c r="AN32" s="16" t="s">
        <v>16</v>
      </c>
      <c r="AO32" s="16" t="s">
        <v>16</v>
      </c>
      <c r="AP32" s="16" t="s">
        <v>16</v>
      </c>
      <c r="AQ32" s="16" t="s">
        <v>16</v>
      </c>
      <c r="AR32" s="16" t="s">
        <v>15</v>
      </c>
      <c r="AS32" s="22">
        <f t="shared" si="2"/>
        <v>0.45</v>
      </c>
      <c r="AT32" s="16" t="s">
        <v>16</v>
      </c>
      <c r="AU32" s="16" t="s">
        <v>15</v>
      </c>
      <c r="AV32" s="16" t="s">
        <v>15</v>
      </c>
      <c r="AW32" s="16" t="s">
        <v>15</v>
      </c>
      <c r="AX32" s="16" t="s">
        <v>16</v>
      </c>
      <c r="AY32" s="43" t="s">
        <v>15</v>
      </c>
      <c r="AZ32" s="16" t="s">
        <v>15</v>
      </c>
      <c r="BA32" s="22">
        <f t="shared" si="3"/>
        <v>0.7142857143</v>
      </c>
      <c r="BB32" s="16" t="s">
        <v>16</v>
      </c>
      <c r="BC32" s="16"/>
      <c r="BD32" s="16"/>
      <c r="BE32" s="16"/>
      <c r="BF32" s="16"/>
      <c r="BG32" s="71" t="s">
        <v>15</v>
      </c>
      <c r="BH32" s="16"/>
      <c r="BI32" s="71" t="s">
        <v>15</v>
      </c>
      <c r="BJ32" s="21"/>
      <c r="BK32" s="51" t="s">
        <v>16</v>
      </c>
      <c r="BL32" s="51" t="s">
        <v>16</v>
      </c>
      <c r="BM32" s="16" t="s">
        <v>15</v>
      </c>
      <c r="BN32" s="169" t="s">
        <v>16</v>
      </c>
      <c r="BO32" s="16" t="s">
        <v>16</v>
      </c>
      <c r="BP32" s="60" t="s">
        <v>15</v>
      </c>
      <c r="BQ32" s="21"/>
      <c r="BR32" s="43" t="s">
        <v>15</v>
      </c>
      <c r="BS32" s="21"/>
      <c r="BT32" s="21"/>
      <c r="BU32" s="16" t="s">
        <v>16</v>
      </c>
      <c r="BV32" s="169" t="s">
        <v>16</v>
      </c>
      <c r="BW32" s="60" t="s">
        <v>15</v>
      </c>
      <c r="BX32" s="22">
        <f t="shared" si="4"/>
        <v>0.4615384615</v>
      </c>
    </row>
    <row r="33">
      <c r="A33" s="16">
        <v>29.0</v>
      </c>
      <c r="B33" s="197"/>
      <c r="C33" s="198">
        <v>46175.0</v>
      </c>
      <c r="D33" s="150" t="s">
        <v>20</v>
      </c>
      <c r="E33" s="150" t="s">
        <v>20</v>
      </c>
      <c r="F33" s="150" t="s">
        <v>20</v>
      </c>
      <c r="G33" s="150" t="s">
        <v>20</v>
      </c>
      <c r="H33" s="150" t="s">
        <v>20</v>
      </c>
      <c r="I33" s="150" t="s">
        <v>20</v>
      </c>
      <c r="J33" s="150" t="s">
        <v>20</v>
      </c>
      <c r="K33" s="150" t="s">
        <v>20</v>
      </c>
      <c r="L33" s="150" t="s">
        <v>20</v>
      </c>
      <c r="M33" s="150" t="s">
        <v>20</v>
      </c>
      <c r="N33" s="150" t="s">
        <v>20</v>
      </c>
      <c r="O33" s="150" t="s">
        <v>20</v>
      </c>
      <c r="P33" s="150" t="s">
        <v>20</v>
      </c>
      <c r="Q33" s="150" t="s">
        <v>20</v>
      </c>
      <c r="R33" s="150" t="s">
        <v>20</v>
      </c>
      <c r="S33" s="150" t="s">
        <v>20</v>
      </c>
      <c r="T33" s="150" t="s">
        <v>20</v>
      </c>
      <c r="U33" s="150" t="s">
        <v>20</v>
      </c>
      <c r="V33" s="150" t="s">
        <v>20</v>
      </c>
      <c r="W33" s="150" t="s">
        <v>20</v>
      </c>
      <c r="X33" s="22">
        <f t="shared" ref="X33:X35" si="5">COUNTIF(E33:Q33,"P")/COUNT(E$4:Q$4)</f>
        <v>0</v>
      </c>
      <c r="Y33" s="150" t="s">
        <v>20</v>
      </c>
      <c r="Z33" s="150" t="s">
        <v>20</v>
      </c>
      <c r="AA33" s="16" t="s">
        <v>15</v>
      </c>
      <c r="AB33" s="16" t="s">
        <v>15</v>
      </c>
      <c r="AC33" s="16" t="s">
        <v>15</v>
      </c>
      <c r="AD33" s="16" t="s">
        <v>15</v>
      </c>
      <c r="AE33" s="16" t="s">
        <v>15</v>
      </c>
      <c r="AF33" s="16" t="s">
        <v>15</v>
      </c>
      <c r="AG33" s="16" t="s">
        <v>15</v>
      </c>
      <c r="AH33" s="16" t="s">
        <v>15</v>
      </c>
      <c r="AI33" s="16" t="s">
        <v>15</v>
      </c>
      <c r="AJ33" s="16" t="s">
        <v>16</v>
      </c>
      <c r="AK33" s="16" t="s">
        <v>15</v>
      </c>
      <c r="AL33" s="16" t="s">
        <v>15</v>
      </c>
      <c r="AM33" s="143" t="s">
        <v>15</v>
      </c>
      <c r="AN33" s="16" t="s">
        <v>16</v>
      </c>
      <c r="AO33" s="16" t="s">
        <v>16</v>
      </c>
      <c r="AP33" s="16" t="s">
        <v>16</v>
      </c>
      <c r="AQ33" s="16" t="s">
        <v>16</v>
      </c>
      <c r="AR33" s="16" t="s">
        <v>15</v>
      </c>
      <c r="AS33" s="22">
        <f t="shared" si="2"/>
        <v>0.7222222222</v>
      </c>
      <c r="AT33" s="16" t="s">
        <v>16</v>
      </c>
      <c r="AU33" s="16" t="s">
        <v>16</v>
      </c>
      <c r="AV33" s="16" t="s">
        <v>15</v>
      </c>
      <c r="AW33" s="16" t="s">
        <v>16</v>
      </c>
      <c r="AX33" s="16" t="s">
        <v>15</v>
      </c>
      <c r="AY33" s="43" t="s">
        <v>15</v>
      </c>
      <c r="AZ33" s="16" t="s">
        <v>16</v>
      </c>
      <c r="BA33" s="22">
        <f t="shared" ref="BA33:BA35" si="6">COUNTIF(AT33:AZ33,"P")/COUNT(AT$4:AZ$4)</f>
        <v>0.4285714286</v>
      </c>
      <c r="BB33" s="16" t="s">
        <v>16</v>
      </c>
      <c r="BC33" s="16"/>
      <c r="BD33" s="16"/>
      <c r="BE33" s="16"/>
      <c r="BF33" s="16"/>
      <c r="BG33" s="85" t="s">
        <v>16</v>
      </c>
      <c r="BH33" s="16"/>
      <c r="BI33" s="71" t="s">
        <v>15</v>
      </c>
      <c r="BJ33" s="21"/>
      <c r="BK33" s="65" t="s">
        <v>15</v>
      </c>
      <c r="BL33" s="65" t="s">
        <v>15</v>
      </c>
      <c r="BM33" s="16" t="s">
        <v>15</v>
      </c>
      <c r="BN33" s="170" t="s">
        <v>15</v>
      </c>
      <c r="BO33" s="16" t="s">
        <v>15</v>
      </c>
      <c r="BP33" s="60" t="s">
        <v>15</v>
      </c>
      <c r="BQ33" s="21"/>
      <c r="BR33" s="43" t="s">
        <v>15</v>
      </c>
      <c r="BS33" s="21"/>
      <c r="BT33" s="21"/>
      <c r="BU33" s="16" t="s">
        <v>15</v>
      </c>
      <c r="BV33" s="169" t="s">
        <v>16</v>
      </c>
      <c r="BW33" s="60" t="s">
        <v>15</v>
      </c>
      <c r="BX33" s="22">
        <f t="shared" ref="BX33:BX35" si="7">COUNTIF(BB33:BN33,"P")/COUNT(BB$4:BN$4)</f>
        <v>0.3846153846</v>
      </c>
    </row>
    <row r="34">
      <c r="A34" s="16">
        <v>30.0</v>
      </c>
      <c r="B34" s="200"/>
      <c r="C34" s="198">
        <v>46230.0</v>
      </c>
      <c r="D34" s="150" t="s">
        <v>20</v>
      </c>
      <c r="E34" s="150" t="s">
        <v>20</v>
      </c>
      <c r="F34" s="150" t="s">
        <v>20</v>
      </c>
      <c r="G34" s="150" t="s">
        <v>20</v>
      </c>
      <c r="H34" s="150" t="s">
        <v>20</v>
      </c>
      <c r="I34" s="150" t="s">
        <v>20</v>
      </c>
      <c r="J34" s="150" t="s">
        <v>20</v>
      </c>
      <c r="K34" s="150" t="s">
        <v>20</v>
      </c>
      <c r="L34" s="150" t="s">
        <v>20</v>
      </c>
      <c r="M34" s="150" t="s">
        <v>20</v>
      </c>
      <c r="N34" s="150" t="s">
        <v>20</v>
      </c>
      <c r="O34" s="150" t="s">
        <v>20</v>
      </c>
      <c r="P34" s="150" t="s">
        <v>20</v>
      </c>
      <c r="Q34" s="150" t="s">
        <v>20</v>
      </c>
      <c r="R34" s="150" t="s">
        <v>20</v>
      </c>
      <c r="S34" s="150" t="s">
        <v>20</v>
      </c>
      <c r="T34" s="150" t="s">
        <v>20</v>
      </c>
      <c r="U34" s="150" t="s">
        <v>20</v>
      </c>
      <c r="V34" s="150" t="s">
        <v>20</v>
      </c>
      <c r="W34" s="150" t="s">
        <v>20</v>
      </c>
      <c r="X34" s="22">
        <f t="shared" si="5"/>
        <v>0</v>
      </c>
      <c r="Y34" s="150" t="s">
        <v>20</v>
      </c>
      <c r="Z34" s="150" t="s">
        <v>20</v>
      </c>
      <c r="AA34" s="150" t="s">
        <v>20</v>
      </c>
      <c r="AB34" s="150" t="s">
        <v>20</v>
      </c>
      <c r="AC34" s="150" t="s">
        <v>20</v>
      </c>
      <c r="AD34" s="150" t="s">
        <v>20</v>
      </c>
      <c r="AE34" s="150" t="s">
        <v>20</v>
      </c>
      <c r="AF34" s="150" t="s">
        <v>20</v>
      </c>
      <c r="AG34" s="150" t="s">
        <v>20</v>
      </c>
      <c r="AH34" s="150" t="s">
        <v>20</v>
      </c>
      <c r="AI34" s="150" t="s">
        <v>20</v>
      </c>
      <c r="AJ34" s="150" t="s">
        <v>20</v>
      </c>
      <c r="AK34" s="150" t="s">
        <v>20</v>
      </c>
      <c r="AL34" s="150" t="s">
        <v>20</v>
      </c>
      <c r="AM34" s="150" t="s">
        <v>20</v>
      </c>
      <c r="AN34" s="150" t="s">
        <v>20</v>
      </c>
      <c r="AO34" s="150" t="s">
        <v>20</v>
      </c>
      <c r="AP34" s="150" t="s">
        <v>20</v>
      </c>
      <c r="AQ34" s="150" t="s">
        <v>20</v>
      </c>
      <c r="AR34" s="150" t="s">
        <v>20</v>
      </c>
      <c r="AS34" s="22" t="str">
        <f t="shared" si="2"/>
        <v>0,00%</v>
      </c>
      <c r="AT34" s="150" t="s">
        <v>20</v>
      </c>
      <c r="AU34" s="150" t="s">
        <v>20</v>
      </c>
      <c r="AV34" s="16" t="s">
        <v>47</v>
      </c>
      <c r="AW34" s="16" t="s">
        <v>15</v>
      </c>
      <c r="AX34" s="16" t="s">
        <v>15</v>
      </c>
      <c r="AY34" s="43" t="s">
        <v>15</v>
      </c>
      <c r="AZ34" s="16" t="s">
        <v>15</v>
      </c>
      <c r="BA34" s="22">
        <f t="shared" si="6"/>
        <v>0.7142857143</v>
      </c>
      <c r="BB34" s="16" t="s">
        <v>15</v>
      </c>
      <c r="BC34" s="16"/>
      <c r="BD34" s="16"/>
      <c r="BE34" s="16"/>
      <c r="BF34" s="16"/>
      <c r="BG34" s="71" t="s">
        <v>15</v>
      </c>
      <c r="BH34" s="16"/>
      <c r="BI34" s="71" t="s">
        <v>15</v>
      </c>
      <c r="BJ34" s="21"/>
      <c r="BK34" s="51" t="s">
        <v>16</v>
      </c>
      <c r="BL34" s="65" t="s">
        <v>15</v>
      </c>
      <c r="BM34" s="16" t="s">
        <v>15</v>
      </c>
      <c r="BN34" s="170" t="s">
        <v>15</v>
      </c>
      <c r="BO34" s="16" t="s">
        <v>15</v>
      </c>
      <c r="BP34" s="60" t="s">
        <v>15</v>
      </c>
      <c r="BQ34" s="21"/>
      <c r="BR34" s="77" t="s">
        <v>16</v>
      </c>
      <c r="BS34" s="21"/>
      <c r="BT34" s="21"/>
      <c r="BU34" s="16" t="s">
        <v>15</v>
      </c>
      <c r="BV34" s="170" t="s">
        <v>15</v>
      </c>
      <c r="BW34" s="60" t="s">
        <v>15</v>
      </c>
      <c r="BX34" s="22">
        <f t="shared" si="7"/>
        <v>0.4615384615</v>
      </c>
    </row>
    <row r="35">
      <c r="A35" s="16">
        <v>31.0</v>
      </c>
      <c r="B35" s="201"/>
      <c r="C35" s="198">
        <v>46259.0</v>
      </c>
      <c r="D35" s="150" t="s">
        <v>20</v>
      </c>
      <c r="E35" s="150" t="s">
        <v>20</v>
      </c>
      <c r="F35" s="150" t="s">
        <v>20</v>
      </c>
      <c r="G35" s="150" t="s">
        <v>20</v>
      </c>
      <c r="H35" s="150" t="s">
        <v>20</v>
      </c>
      <c r="I35" s="150" t="s">
        <v>20</v>
      </c>
      <c r="J35" s="150" t="s">
        <v>20</v>
      </c>
      <c r="K35" s="150" t="s">
        <v>20</v>
      </c>
      <c r="L35" s="150" t="s">
        <v>20</v>
      </c>
      <c r="M35" s="150" t="s">
        <v>20</v>
      </c>
      <c r="N35" s="150" t="s">
        <v>20</v>
      </c>
      <c r="O35" s="150" t="s">
        <v>20</v>
      </c>
      <c r="P35" s="150" t="s">
        <v>20</v>
      </c>
      <c r="Q35" s="150" t="s">
        <v>20</v>
      </c>
      <c r="R35" s="150" t="s">
        <v>20</v>
      </c>
      <c r="S35" s="150" t="s">
        <v>20</v>
      </c>
      <c r="T35" s="150" t="s">
        <v>20</v>
      </c>
      <c r="U35" s="150" t="s">
        <v>20</v>
      </c>
      <c r="V35" s="150" t="s">
        <v>20</v>
      </c>
      <c r="W35" s="150" t="s">
        <v>20</v>
      </c>
      <c r="X35" s="22">
        <f t="shared" si="5"/>
        <v>0</v>
      </c>
      <c r="Y35" s="150" t="s">
        <v>20</v>
      </c>
      <c r="Z35" s="150" t="s">
        <v>20</v>
      </c>
      <c r="AA35" s="150" t="s">
        <v>20</v>
      </c>
      <c r="AB35" s="150" t="s">
        <v>20</v>
      </c>
      <c r="AC35" s="150" t="s">
        <v>20</v>
      </c>
      <c r="AD35" s="150" t="s">
        <v>20</v>
      </c>
      <c r="AE35" s="150" t="s">
        <v>20</v>
      </c>
      <c r="AF35" s="150" t="s">
        <v>20</v>
      </c>
      <c r="AG35" s="150" t="s">
        <v>20</v>
      </c>
      <c r="AH35" s="150" t="s">
        <v>20</v>
      </c>
      <c r="AI35" s="150" t="s">
        <v>20</v>
      </c>
      <c r="AJ35" s="150" t="s">
        <v>20</v>
      </c>
      <c r="AK35" s="150" t="s">
        <v>20</v>
      </c>
      <c r="AL35" s="150" t="s">
        <v>20</v>
      </c>
      <c r="AM35" s="150" t="s">
        <v>20</v>
      </c>
      <c r="AN35" s="150" t="s">
        <v>20</v>
      </c>
      <c r="AO35" s="150" t="s">
        <v>20</v>
      </c>
      <c r="AP35" s="150" t="s">
        <v>20</v>
      </c>
      <c r="AQ35" s="150" t="s">
        <v>20</v>
      </c>
      <c r="AR35" s="150" t="s">
        <v>20</v>
      </c>
      <c r="AS35" s="22" t="str">
        <f t="shared" si="2"/>
        <v>0,00%</v>
      </c>
      <c r="AT35" s="150" t="s">
        <v>20</v>
      </c>
      <c r="AU35" s="150" t="s">
        <v>20</v>
      </c>
      <c r="AV35" s="150" t="s">
        <v>20</v>
      </c>
      <c r="AW35" s="150" t="s">
        <v>20</v>
      </c>
      <c r="AX35" s="150" t="s">
        <v>20</v>
      </c>
      <c r="AY35" s="150" t="s">
        <v>20</v>
      </c>
      <c r="AZ35" s="150" t="s">
        <v>20</v>
      </c>
      <c r="BA35" s="22">
        <f t="shared" si="6"/>
        <v>0</v>
      </c>
      <c r="BB35" s="150" t="s">
        <v>20</v>
      </c>
      <c r="BC35" s="150" t="s">
        <v>20</v>
      </c>
      <c r="BD35" s="150" t="s">
        <v>20</v>
      </c>
      <c r="BE35" s="150" t="s">
        <v>20</v>
      </c>
      <c r="BF35" s="150" t="s">
        <v>20</v>
      </c>
      <c r="BG35" s="150" t="s">
        <v>20</v>
      </c>
      <c r="BH35" s="150" t="s">
        <v>20</v>
      </c>
      <c r="BI35" s="150" t="s">
        <v>20</v>
      </c>
      <c r="BJ35" s="150" t="s">
        <v>20</v>
      </c>
      <c r="BK35" s="150" t="s">
        <v>20</v>
      </c>
      <c r="BL35" s="150" t="s">
        <v>20</v>
      </c>
      <c r="BM35" s="150" t="s">
        <v>20</v>
      </c>
      <c r="BN35" s="150" t="s">
        <v>20</v>
      </c>
      <c r="BO35" s="150" t="s">
        <v>20</v>
      </c>
      <c r="BP35" s="150" t="s">
        <v>20</v>
      </c>
      <c r="BQ35" s="150" t="s">
        <v>20</v>
      </c>
      <c r="BR35" s="150" t="s">
        <v>20</v>
      </c>
      <c r="BS35" s="21"/>
      <c r="BT35" s="21"/>
      <c r="BU35" s="16" t="s">
        <v>15</v>
      </c>
      <c r="BV35" s="51" t="s">
        <v>16</v>
      </c>
      <c r="BW35" s="60" t="s">
        <v>15</v>
      </c>
      <c r="BX35" s="22">
        <f t="shared" si="7"/>
        <v>0</v>
      </c>
    </row>
    <row r="36">
      <c r="A36" s="6"/>
      <c r="E36" s="96" t="s">
        <v>28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95"/>
    </row>
    <row r="37">
      <c r="A37" s="6"/>
      <c r="E37" s="117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101"/>
    </row>
    <row r="38">
      <c r="A38" s="6"/>
      <c r="E38" s="117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101"/>
    </row>
    <row r="39">
      <c r="A39" s="6"/>
      <c r="E39" s="117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101"/>
    </row>
    <row r="40">
      <c r="A40" s="6"/>
      <c r="E40" s="117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101"/>
    </row>
    <row r="41">
      <c r="A41" s="6"/>
      <c r="E41" s="97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101"/>
    </row>
    <row r="42">
      <c r="A42" s="6"/>
      <c r="E42" s="97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101"/>
    </row>
    <row r="43">
      <c r="A43" s="6"/>
      <c r="E43" s="97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101"/>
    </row>
    <row r="44">
      <c r="A44" s="6"/>
      <c r="E44" s="97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101"/>
    </row>
    <row r="45">
      <c r="A45" s="6"/>
      <c r="E45" s="97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101"/>
    </row>
    <row r="46">
      <c r="A46" s="6"/>
      <c r="E46" s="97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101"/>
    </row>
    <row r="47">
      <c r="E47" s="97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101"/>
    </row>
  </sheetData>
  <mergeCells count="19">
    <mergeCell ref="D1:W3"/>
    <mergeCell ref="AT1:AZ3"/>
    <mergeCell ref="BB1:BW3"/>
    <mergeCell ref="X2:X3"/>
    <mergeCell ref="AS2:AS3"/>
    <mergeCell ref="BA2:BA3"/>
    <mergeCell ref="BX2:BX3"/>
    <mergeCell ref="E43:AS43"/>
    <mergeCell ref="E44:AS44"/>
    <mergeCell ref="E45:AS45"/>
    <mergeCell ref="E46:AS46"/>
    <mergeCell ref="E47:AS47"/>
    <mergeCell ref="Y1:AR3"/>
    <mergeCell ref="E37:AS37"/>
    <mergeCell ref="E38:AS38"/>
    <mergeCell ref="E39:AS39"/>
    <mergeCell ref="E40:AS40"/>
    <mergeCell ref="E41:AS41"/>
    <mergeCell ref="E42:AS42"/>
  </mergeCells>
  <conditionalFormatting sqref="AD14:AD15 AH15 AL15:AL16 AJ16:AJ17 AN16 AP16 AR16">
    <cfRule type="notContainsBlanks" dxfId="5" priority="1">
      <formula>LEN(TRIM(AD14))&gt;0</formula>
    </cfRule>
  </conditionalFormatting>
  <conditionalFormatting sqref="D5:D35 E5:J39 K5:K35 L5:AE39 AF5:AF35 AG5:BE39 BF5:BW35 BX21">
    <cfRule type="cellIs" dxfId="3" priority="2" operator="equal">
      <formula>"P"</formula>
    </cfRule>
  </conditionalFormatting>
  <conditionalFormatting sqref="D5:D35 E5:J39 K5:K35 L5:AE39 AF5:AF35 AG5:BE39 BF5:BW35 BX21">
    <cfRule type="cellIs" dxfId="4" priority="3" operator="equal">
      <formula>"F"</formula>
    </cfRule>
  </conditionalFormatting>
  <dataValidations>
    <dataValidation type="list" allowBlank="1" showDropDown="1" sqref="AM5:AM9 BR5:BR15 AM11:AM16 AM19 AM21 BR18:BR21 AM24 BR23:BR24 AM26:AM27 AM29:AM31 AM33 AY5:AY34 BP5:BP34 BR26:BR34 BW5:BW35">
      <formula1>"-,P,F"</formula1>
    </dataValidation>
    <dataValidation type="custom" allowBlank="1" showDropDown="1" sqref="B7 C8 B15:B16 B27 B29">
      <formula1>OR(NOT(ISERROR(DATEVALUE(B7))), AND(ISNUMBER(B7), LEFT(CELL("format", B7))="D"))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9"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4.0"/>
    <col customWidth="1" min="2" max="2" width="36.0"/>
    <col customWidth="1" min="4" max="23" width="2.63"/>
    <col customWidth="1" min="24" max="24" width="7.75"/>
    <col customWidth="1" min="25" max="44" width="2.63"/>
    <col customWidth="1" min="45" max="45" width="7.13"/>
    <col customWidth="1" min="46" max="52" width="2.63"/>
    <col customWidth="1" min="53" max="53" width="7.25"/>
    <col customWidth="1" min="54" max="75" width="2.63"/>
    <col customWidth="1" min="76" max="76" width="8.25"/>
    <col customWidth="1" min="77" max="94" width="2.63"/>
  </cols>
  <sheetData>
    <row r="1">
      <c r="A1" s="1" t="s">
        <v>0</v>
      </c>
      <c r="B1" s="1"/>
      <c r="C1" s="1"/>
      <c r="D1" s="2" t="s">
        <v>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 t="s">
        <v>2</v>
      </c>
      <c r="Y1" s="2" t="s">
        <v>7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4"/>
      <c r="AS1" s="5" t="s">
        <v>2</v>
      </c>
      <c r="AT1" s="2" t="s">
        <v>8</v>
      </c>
      <c r="AU1" s="3"/>
      <c r="AV1" s="3"/>
      <c r="AW1" s="3"/>
      <c r="AX1" s="3"/>
      <c r="AY1" s="3"/>
      <c r="AZ1" s="4"/>
      <c r="BA1" s="5" t="s">
        <v>2</v>
      </c>
      <c r="BB1" s="2" t="s">
        <v>9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4"/>
      <c r="BX1" s="5" t="s">
        <v>2</v>
      </c>
    </row>
    <row r="2">
      <c r="C2" s="6"/>
      <c r="D2" s="7"/>
      <c r="W2" s="8"/>
      <c r="X2" s="9">
        <f>COUNT(D4:Q4)</f>
        <v>14</v>
      </c>
      <c r="Y2" s="7"/>
      <c r="AR2" s="8"/>
      <c r="AS2" s="9">
        <f>COUNT(Y4:AR4)</f>
        <v>20</v>
      </c>
      <c r="AT2" s="7"/>
      <c r="AZ2" s="8"/>
      <c r="BA2" s="9">
        <f>COUNT(AT4:AZ4)</f>
        <v>7</v>
      </c>
      <c r="BB2" s="7"/>
      <c r="BW2" s="8"/>
      <c r="BX2" s="9">
        <f>COUNT(BB4:BQ4)</f>
        <v>16</v>
      </c>
    </row>
    <row r="3">
      <c r="C3" s="6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4"/>
      <c r="X3" s="15"/>
      <c r="Y3" s="12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4"/>
      <c r="AS3" s="15"/>
      <c r="AT3" s="12"/>
      <c r="AU3" s="13"/>
      <c r="AV3" s="13"/>
      <c r="AW3" s="13"/>
      <c r="AX3" s="13"/>
      <c r="AY3" s="13"/>
      <c r="AZ3" s="14"/>
      <c r="BA3" s="15"/>
      <c r="BB3" s="12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4"/>
      <c r="BX3" s="15"/>
    </row>
    <row r="4">
      <c r="A4" s="16" t="s">
        <v>10</v>
      </c>
      <c r="B4" s="17" t="s">
        <v>11</v>
      </c>
      <c r="C4" s="16" t="s">
        <v>14</v>
      </c>
      <c r="D4" s="18">
        <v>4.0</v>
      </c>
      <c r="E4" s="18">
        <v>5.0</v>
      </c>
      <c r="F4" s="18">
        <v>6.0</v>
      </c>
      <c r="G4" s="18">
        <v>7.0</v>
      </c>
      <c r="H4" s="18">
        <v>8.0</v>
      </c>
      <c r="I4" s="18">
        <v>11.0</v>
      </c>
      <c r="J4" s="18">
        <v>12.0</v>
      </c>
      <c r="K4" s="18">
        <v>13.0</v>
      </c>
      <c r="L4" s="18">
        <v>14.0</v>
      </c>
      <c r="M4" s="18">
        <v>15.0</v>
      </c>
      <c r="N4" s="18">
        <v>18.0</v>
      </c>
      <c r="O4" s="18">
        <v>19.0</v>
      </c>
      <c r="P4" s="18">
        <v>20.0</v>
      </c>
      <c r="Q4" s="18">
        <v>21.0</v>
      </c>
      <c r="R4" s="18">
        <v>22.0</v>
      </c>
      <c r="S4" s="18">
        <v>25.0</v>
      </c>
      <c r="T4" s="18">
        <v>26.0</v>
      </c>
      <c r="U4" s="18">
        <v>27.0</v>
      </c>
      <c r="V4" s="18">
        <v>28.0</v>
      </c>
      <c r="W4" s="18">
        <v>29.0</v>
      </c>
      <c r="X4" s="19" t="s">
        <v>13</v>
      </c>
      <c r="Y4" s="18">
        <v>1.0</v>
      </c>
      <c r="Z4" s="18">
        <v>2.0</v>
      </c>
      <c r="AA4" s="18">
        <v>3.0</v>
      </c>
      <c r="AB4" s="18">
        <v>8.0</v>
      </c>
      <c r="AC4" s="18">
        <v>9.0</v>
      </c>
      <c r="AD4" s="18">
        <v>10.0</v>
      </c>
      <c r="AE4" s="18">
        <v>11.0</v>
      </c>
      <c r="AF4" s="18">
        <v>12.0</v>
      </c>
      <c r="AG4" s="18">
        <v>15.0</v>
      </c>
      <c r="AH4" s="18">
        <v>16.0</v>
      </c>
      <c r="AI4" s="18">
        <v>17.0</v>
      </c>
      <c r="AJ4" s="18">
        <v>18.0</v>
      </c>
      <c r="AK4" s="18">
        <v>19.0</v>
      </c>
      <c r="AL4" s="18">
        <v>22.0</v>
      </c>
      <c r="AM4" s="18">
        <v>23.0</v>
      </c>
      <c r="AN4" s="18">
        <v>24.0</v>
      </c>
      <c r="AO4" s="18">
        <v>25.0</v>
      </c>
      <c r="AP4" s="18">
        <v>26.0</v>
      </c>
      <c r="AQ4" s="18">
        <v>29.0</v>
      </c>
      <c r="AR4" s="18">
        <v>30.0</v>
      </c>
      <c r="AS4" s="19" t="s">
        <v>13</v>
      </c>
      <c r="AT4" s="18">
        <v>1.0</v>
      </c>
      <c r="AU4" s="18">
        <v>2.0</v>
      </c>
      <c r="AV4" s="18">
        <v>3.0</v>
      </c>
      <c r="AW4" s="18">
        <v>28.0</v>
      </c>
      <c r="AX4" s="18">
        <v>29.0</v>
      </c>
      <c r="AY4" s="18">
        <v>30.0</v>
      </c>
      <c r="AZ4" s="18">
        <v>31.0</v>
      </c>
      <c r="BA4" s="19" t="s">
        <v>13</v>
      </c>
      <c r="BB4" s="18">
        <v>3.0</v>
      </c>
      <c r="BC4" s="18">
        <v>4.0</v>
      </c>
      <c r="BD4" s="18">
        <v>5.0</v>
      </c>
      <c r="BE4" s="18">
        <v>6.0</v>
      </c>
      <c r="BF4" s="18">
        <v>7.0</v>
      </c>
      <c r="BG4" s="18">
        <v>10.0</v>
      </c>
      <c r="BH4" s="18">
        <v>11.0</v>
      </c>
      <c r="BI4" s="18">
        <v>12.0</v>
      </c>
      <c r="BJ4" s="18">
        <v>13.0</v>
      </c>
      <c r="BK4" s="18">
        <v>14.0</v>
      </c>
      <c r="BL4" s="18">
        <v>17.0</v>
      </c>
      <c r="BM4" s="18">
        <v>18.0</v>
      </c>
      <c r="BN4" s="18">
        <v>19.0</v>
      </c>
      <c r="BO4" s="18">
        <v>20.0</v>
      </c>
      <c r="BP4" s="18">
        <v>21.0</v>
      </c>
      <c r="BQ4" s="18">
        <v>22.0</v>
      </c>
      <c r="BR4" s="18">
        <v>24.0</v>
      </c>
      <c r="BS4" s="18">
        <v>25.0</v>
      </c>
      <c r="BT4" s="18">
        <v>26.0</v>
      </c>
      <c r="BU4" s="18">
        <v>27.0</v>
      </c>
      <c r="BV4" s="18">
        <v>28.0</v>
      </c>
      <c r="BW4" s="18">
        <v>31.0</v>
      </c>
      <c r="BX4" s="19" t="s">
        <v>13</v>
      </c>
    </row>
    <row r="5">
      <c r="A5" s="24">
        <v>1.0</v>
      </c>
      <c r="B5" s="25"/>
      <c r="C5" s="26"/>
      <c r="D5" s="16" t="s">
        <v>15</v>
      </c>
      <c r="E5" s="16" t="s">
        <v>15</v>
      </c>
      <c r="F5" s="16" t="s">
        <v>15</v>
      </c>
      <c r="G5" s="16" t="s">
        <v>15</v>
      </c>
      <c r="H5" s="16" t="s">
        <v>15</v>
      </c>
      <c r="I5" s="16" t="s">
        <v>16</v>
      </c>
      <c r="J5" s="16" t="s">
        <v>15</v>
      </c>
      <c r="K5" s="16" t="s">
        <v>15</v>
      </c>
      <c r="L5" s="16" t="s">
        <v>15</v>
      </c>
      <c r="M5" s="16" t="s">
        <v>16</v>
      </c>
      <c r="N5" s="16" t="s">
        <v>15</v>
      </c>
      <c r="O5" s="16" t="s">
        <v>15</v>
      </c>
      <c r="P5" s="16" t="s">
        <v>16</v>
      </c>
      <c r="Q5" s="16" t="s">
        <v>15</v>
      </c>
      <c r="R5" s="16" t="s">
        <v>15</v>
      </c>
      <c r="S5" s="16" t="s">
        <v>15</v>
      </c>
      <c r="T5" s="16" t="s">
        <v>16</v>
      </c>
      <c r="U5" s="16" t="s">
        <v>15</v>
      </c>
      <c r="V5" s="16" t="s">
        <v>15</v>
      </c>
      <c r="W5" s="16" t="s">
        <v>16</v>
      </c>
      <c r="X5" s="22">
        <f t="shared" ref="X5:X31" si="1">IFERROR(COUNTIF(D5:W5,"P")/(COUNTIF(D5:W5,"P")+COUNTIF(D5:W5,"F")), "0,00%")</f>
        <v>0.75</v>
      </c>
      <c r="Y5" s="16" t="s">
        <v>15</v>
      </c>
      <c r="Z5" s="16" t="s">
        <v>16</v>
      </c>
      <c r="AA5" s="16" t="s">
        <v>15</v>
      </c>
      <c r="AB5" s="16" t="s">
        <v>15</v>
      </c>
      <c r="AC5" s="16" t="s">
        <v>15</v>
      </c>
      <c r="AD5" s="16" t="s">
        <v>15</v>
      </c>
      <c r="AE5" s="154" t="s">
        <v>16</v>
      </c>
      <c r="AF5" s="154" t="s">
        <v>15</v>
      </c>
      <c r="AG5" s="154" t="s">
        <v>15</v>
      </c>
      <c r="AH5" s="16" t="s">
        <v>16</v>
      </c>
      <c r="AI5" s="16" t="s">
        <v>15</v>
      </c>
      <c r="AJ5" s="154" t="s">
        <v>15</v>
      </c>
      <c r="AK5" s="154" t="s">
        <v>16</v>
      </c>
      <c r="AL5" s="154" t="s">
        <v>16</v>
      </c>
      <c r="AM5" s="154" t="s">
        <v>15</v>
      </c>
      <c r="AN5" s="154" t="s">
        <v>16</v>
      </c>
      <c r="AO5" s="154" t="s">
        <v>15</v>
      </c>
      <c r="AP5" s="16" t="s">
        <v>16</v>
      </c>
      <c r="AQ5" s="16" t="s">
        <v>15</v>
      </c>
      <c r="AR5" s="154" t="s">
        <v>15</v>
      </c>
      <c r="AS5" s="22">
        <f t="shared" ref="AS5:AS34" si="2">IFERROR(COUNTIF(Y5:AR5,"P")/(COUNTIF(Y5:AR5,"P")+COUNTIF(Y5:AR5,"F")), "0,00%")</f>
        <v>0.65</v>
      </c>
      <c r="AT5" s="16" t="s">
        <v>15</v>
      </c>
      <c r="AU5" s="154" t="s">
        <v>15</v>
      </c>
      <c r="AV5" s="16" t="s">
        <v>15</v>
      </c>
      <c r="AW5" s="16" t="s">
        <v>15</v>
      </c>
      <c r="AX5" s="16" t="s">
        <v>15</v>
      </c>
      <c r="AY5" s="16" t="s">
        <v>16</v>
      </c>
      <c r="AZ5" s="16" t="s">
        <v>16</v>
      </c>
      <c r="BA5" s="22">
        <f t="shared" ref="BA5:BA31" si="3">IFERROR(COUNTIF(AT5:AZ5,"P")/(COUNTIF(AT5:AZ5,"P")+COUNTIF(AT5:AZ5,"F")), "0,00%")</f>
        <v>0.7142857143</v>
      </c>
      <c r="BB5" s="16" t="s">
        <v>16</v>
      </c>
      <c r="BC5" s="16" t="s">
        <v>15</v>
      </c>
      <c r="BD5" s="154" t="s">
        <v>16</v>
      </c>
      <c r="BE5" s="16" t="s">
        <v>15</v>
      </c>
      <c r="BF5" s="16" t="s">
        <v>15</v>
      </c>
      <c r="BG5" s="16" t="s">
        <v>15</v>
      </c>
      <c r="BH5" s="16" t="s">
        <v>15</v>
      </c>
      <c r="BI5" s="16" t="s">
        <v>16</v>
      </c>
      <c r="BJ5" s="154" t="s">
        <v>15</v>
      </c>
      <c r="BK5" s="154" t="s">
        <v>16</v>
      </c>
      <c r="BL5" s="154" t="s">
        <v>16</v>
      </c>
      <c r="BM5" s="154" t="s">
        <v>15</v>
      </c>
      <c r="BN5" s="202" t="s">
        <v>15</v>
      </c>
      <c r="BO5" s="202" t="s">
        <v>15</v>
      </c>
      <c r="BP5" s="154" t="s">
        <v>15</v>
      </c>
      <c r="BQ5" s="154" t="s">
        <v>15</v>
      </c>
      <c r="BR5" s="154" t="s">
        <v>15</v>
      </c>
      <c r="BS5" s="154" t="s">
        <v>15</v>
      </c>
      <c r="BT5" s="202" t="s">
        <v>15</v>
      </c>
      <c r="BU5" s="202" t="s">
        <v>16</v>
      </c>
      <c r="BV5" s="154" t="s">
        <v>15</v>
      </c>
      <c r="BW5" s="202" t="s">
        <v>16</v>
      </c>
      <c r="BX5" s="22">
        <f t="shared" ref="BX5:BX34" si="4">IFERROR(COUNTIF(BB5:BW5,"P")/(COUNTIF(BB5:BW5,"P")+COUNTIF(BB5:BW5,"F")), "0,00%")</f>
        <v>0.6818181818</v>
      </c>
    </row>
    <row r="6">
      <c r="A6" s="24">
        <v>2.0</v>
      </c>
      <c r="B6" s="46"/>
      <c r="C6" s="26"/>
      <c r="D6" s="16" t="s">
        <v>15</v>
      </c>
      <c r="E6" s="16" t="s">
        <v>15</v>
      </c>
      <c r="F6" s="16" t="s">
        <v>16</v>
      </c>
      <c r="G6" s="16" t="s">
        <v>15</v>
      </c>
      <c r="H6" s="16" t="s">
        <v>15</v>
      </c>
      <c r="I6" s="16" t="s">
        <v>16</v>
      </c>
      <c r="J6" s="16" t="s">
        <v>15</v>
      </c>
      <c r="K6" s="16" t="s">
        <v>15</v>
      </c>
      <c r="L6" s="16" t="s">
        <v>15</v>
      </c>
      <c r="M6" s="16" t="s">
        <v>15</v>
      </c>
      <c r="N6" s="16" t="s">
        <v>15</v>
      </c>
      <c r="O6" s="16" t="s">
        <v>16</v>
      </c>
      <c r="P6" s="16" t="s">
        <v>15</v>
      </c>
      <c r="Q6" s="16" t="s">
        <v>15</v>
      </c>
      <c r="R6" s="16" t="s">
        <v>15</v>
      </c>
      <c r="S6" s="16" t="s">
        <v>15</v>
      </c>
      <c r="T6" s="16" t="s">
        <v>15</v>
      </c>
      <c r="U6" s="16" t="s">
        <v>15</v>
      </c>
      <c r="V6" s="16" t="s">
        <v>15</v>
      </c>
      <c r="W6" s="16" t="s">
        <v>16</v>
      </c>
      <c r="X6" s="22">
        <f t="shared" si="1"/>
        <v>0.8</v>
      </c>
      <c r="Y6" s="16" t="s">
        <v>15</v>
      </c>
      <c r="Z6" s="16" t="s">
        <v>15</v>
      </c>
      <c r="AA6" s="16" t="s">
        <v>15</v>
      </c>
      <c r="AB6" s="16" t="s">
        <v>16</v>
      </c>
      <c r="AC6" s="16" t="s">
        <v>15</v>
      </c>
      <c r="AD6" s="16" t="s">
        <v>16</v>
      </c>
      <c r="AE6" s="203" t="s">
        <v>16</v>
      </c>
      <c r="AF6" s="16" t="s">
        <v>16</v>
      </c>
      <c r="AG6" s="16" t="s">
        <v>15</v>
      </c>
      <c r="AH6" s="16" t="s">
        <v>15</v>
      </c>
      <c r="AI6" s="16" t="s">
        <v>15</v>
      </c>
      <c r="AJ6" s="16" t="s">
        <v>16</v>
      </c>
      <c r="AK6" s="16" t="s">
        <v>16</v>
      </c>
      <c r="AL6" s="16" t="s">
        <v>15</v>
      </c>
      <c r="AM6" s="16" t="s">
        <v>15</v>
      </c>
      <c r="AN6" s="16" t="s">
        <v>16</v>
      </c>
      <c r="AO6" s="16" t="s">
        <v>16</v>
      </c>
      <c r="AP6" s="16" t="s">
        <v>15</v>
      </c>
      <c r="AQ6" s="16" t="s">
        <v>16</v>
      </c>
      <c r="AR6" s="154" t="s">
        <v>15</v>
      </c>
      <c r="AS6" s="22">
        <f t="shared" si="2"/>
        <v>0.55</v>
      </c>
      <c r="AT6" s="16" t="s">
        <v>16</v>
      </c>
      <c r="AU6" s="16" t="s">
        <v>15</v>
      </c>
      <c r="AV6" s="16" t="s">
        <v>15</v>
      </c>
      <c r="AW6" s="16" t="s">
        <v>15</v>
      </c>
      <c r="AX6" s="16" t="s">
        <v>15</v>
      </c>
      <c r="AY6" s="16" t="s">
        <v>15</v>
      </c>
      <c r="AZ6" s="16" t="s">
        <v>16</v>
      </c>
      <c r="BA6" s="22">
        <f t="shared" si="3"/>
        <v>0.7142857143</v>
      </c>
      <c r="BB6" s="16" t="s">
        <v>15</v>
      </c>
      <c r="BC6" s="16" t="s">
        <v>15</v>
      </c>
      <c r="BD6" s="16" t="s">
        <v>16</v>
      </c>
      <c r="BE6" s="16" t="s">
        <v>15</v>
      </c>
      <c r="BF6" s="16" t="s">
        <v>15</v>
      </c>
      <c r="BG6" s="16" t="s">
        <v>16</v>
      </c>
      <c r="BH6" s="16" t="s">
        <v>15</v>
      </c>
      <c r="BI6" s="16" t="s">
        <v>16</v>
      </c>
      <c r="BJ6" s="154" t="s">
        <v>16</v>
      </c>
      <c r="BK6" s="154" t="s">
        <v>15</v>
      </c>
      <c r="BL6" s="154" t="s">
        <v>16</v>
      </c>
      <c r="BM6" s="154" t="s">
        <v>15</v>
      </c>
      <c r="BN6" s="204" t="s">
        <v>15</v>
      </c>
      <c r="BO6" s="202" t="s">
        <v>15</v>
      </c>
      <c r="BP6" s="204" t="s">
        <v>15</v>
      </c>
      <c r="BQ6" s="204" t="s">
        <v>15</v>
      </c>
      <c r="BR6" s="204" t="s">
        <v>15</v>
      </c>
      <c r="BS6" s="204" t="s">
        <v>15</v>
      </c>
      <c r="BT6" s="204" t="s">
        <v>15</v>
      </c>
      <c r="BU6" s="202" t="s">
        <v>16</v>
      </c>
      <c r="BV6" s="204" t="s">
        <v>15</v>
      </c>
      <c r="BW6" s="154" t="s">
        <v>15</v>
      </c>
      <c r="BX6" s="22">
        <f t="shared" si="4"/>
        <v>0.7272727273</v>
      </c>
    </row>
    <row r="7">
      <c r="A7" s="24">
        <v>3.0</v>
      </c>
      <c r="B7" s="62"/>
      <c r="C7" s="112" t="s">
        <v>41</v>
      </c>
      <c r="D7" s="16" t="s">
        <v>15</v>
      </c>
      <c r="E7" s="16" t="s">
        <v>15</v>
      </c>
      <c r="F7" s="16" t="s">
        <v>16</v>
      </c>
      <c r="G7" s="16" t="s">
        <v>16</v>
      </c>
      <c r="H7" s="16" t="s">
        <v>16</v>
      </c>
      <c r="I7" s="16" t="s">
        <v>15</v>
      </c>
      <c r="J7" s="16" t="s">
        <v>15</v>
      </c>
      <c r="K7" s="16" t="s">
        <v>15</v>
      </c>
      <c r="L7" s="16" t="s">
        <v>16</v>
      </c>
      <c r="M7" s="16" t="s">
        <v>15</v>
      </c>
      <c r="N7" s="16" t="s">
        <v>15</v>
      </c>
      <c r="O7" s="16" t="s">
        <v>15</v>
      </c>
      <c r="P7" s="16" t="s">
        <v>15</v>
      </c>
      <c r="Q7" s="16" t="s">
        <v>15</v>
      </c>
      <c r="R7" s="16" t="s">
        <v>15</v>
      </c>
      <c r="S7" s="16" t="s">
        <v>16</v>
      </c>
      <c r="T7" s="16" t="s">
        <v>15</v>
      </c>
      <c r="U7" s="16" t="s">
        <v>15</v>
      </c>
      <c r="V7" s="16" t="s">
        <v>15</v>
      </c>
      <c r="W7" s="16" t="s">
        <v>15</v>
      </c>
      <c r="X7" s="22">
        <f t="shared" si="1"/>
        <v>0.75</v>
      </c>
      <c r="Y7" s="16" t="s">
        <v>15</v>
      </c>
      <c r="Z7" s="16" t="s">
        <v>16</v>
      </c>
      <c r="AA7" s="16" t="s">
        <v>16</v>
      </c>
      <c r="AB7" s="16" t="s">
        <v>16</v>
      </c>
      <c r="AC7" s="16" t="s">
        <v>15</v>
      </c>
      <c r="AD7" s="16" t="s">
        <v>15</v>
      </c>
      <c r="AE7" s="154" t="s">
        <v>16</v>
      </c>
      <c r="AF7" s="154" t="s">
        <v>16</v>
      </c>
      <c r="AG7" s="154" t="s">
        <v>16</v>
      </c>
      <c r="AH7" s="16" t="s">
        <v>15</v>
      </c>
      <c r="AI7" s="16" t="s">
        <v>15</v>
      </c>
      <c r="AJ7" s="154" t="s">
        <v>16</v>
      </c>
      <c r="AK7" s="154" t="s">
        <v>15</v>
      </c>
      <c r="AL7" s="154" t="s">
        <v>15</v>
      </c>
      <c r="AM7" s="154" t="s">
        <v>15</v>
      </c>
      <c r="AN7" s="154" t="s">
        <v>16</v>
      </c>
      <c r="AO7" s="154" t="s">
        <v>16</v>
      </c>
      <c r="AP7" s="16" t="s">
        <v>15</v>
      </c>
      <c r="AQ7" s="16" t="s">
        <v>16</v>
      </c>
      <c r="AR7" s="154" t="s">
        <v>16</v>
      </c>
      <c r="AS7" s="22">
        <f t="shared" si="2"/>
        <v>0.45</v>
      </c>
      <c r="AT7" s="16" t="s">
        <v>16</v>
      </c>
      <c r="AU7" s="154" t="s">
        <v>15</v>
      </c>
      <c r="AV7" s="16" t="s">
        <v>15</v>
      </c>
      <c r="AW7" s="16" t="s">
        <v>16</v>
      </c>
      <c r="AX7" s="16" t="s">
        <v>15</v>
      </c>
      <c r="AY7" s="16" t="s">
        <v>15</v>
      </c>
      <c r="AZ7" s="16" t="s">
        <v>15</v>
      </c>
      <c r="BA7" s="22">
        <f t="shared" si="3"/>
        <v>0.7142857143</v>
      </c>
      <c r="BB7" s="16" t="s">
        <v>15</v>
      </c>
      <c r="BC7" s="16" t="s">
        <v>16</v>
      </c>
      <c r="BD7" s="154" t="s">
        <v>15</v>
      </c>
      <c r="BE7" s="16" t="s">
        <v>15</v>
      </c>
      <c r="BF7" s="16" t="s">
        <v>15</v>
      </c>
      <c r="BG7" s="16" t="s">
        <v>16</v>
      </c>
      <c r="BH7" s="16" t="s">
        <v>16</v>
      </c>
      <c r="BI7" s="16" t="s">
        <v>15</v>
      </c>
      <c r="BJ7" s="154" t="s">
        <v>15</v>
      </c>
      <c r="BK7" s="154" t="s">
        <v>15</v>
      </c>
      <c r="BL7" s="154" t="s">
        <v>16</v>
      </c>
      <c r="BM7" s="154" t="s">
        <v>15</v>
      </c>
      <c r="BN7" s="204" t="s">
        <v>15</v>
      </c>
      <c r="BO7" s="202" t="s">
        <v>15</v>
      </c>
      <c r="BP7" s="154" t="s">
        <v>16</v>
      </c>
      <c r="BQ7" s="154" t="s">
        <v>15</v>
      </c>
      <c r="BR7" s="154" t="s">
        <v>15</v>
      </c>
      <c r="BS7" s="154" t="s">
        <v>15</v>
      </c>
      <c r="BT7" s="202" t="s">
        <v>15</v>
      </c>
      <c r="BU7" s="202" t="s">
        <v>15</v>
      </c>
      <c r="BV7" s="154" t="s">
        <v>15</v>
      </c>
      <c r="BW7" s="154" t="s">
        <v>15</v>
      </c>
      <c r="BX7" s="22">
        <f t="shared" si="4"/>
        <v>0.7727272727</v>
      </c>
    </row>
    <row r="8">
      <c r="A8" s="24">
        <v>4.0</v>
      </c>
      <c r="B8" s="81"/>
      <c r="C8" s="58"/>
      <c r="D8" s="16" t="s">
        <v>15</v>
      </c>
      <c r="E8" s="16" t="s">
        <v>15</v>
      </c>
      <c r="F8" s="16" t="s">
        <v>15</v>
      </c>
      <c r="G8" s="16" t="s">
        <v>15</v>
      </c>
      <c r="H8" s="16" t="s">
        <v>15</v>
      </c>
      <c r="I8" s="16" t="s">
        <v>15</v>
      </c>
      <c r="J8" s="16" t="s">
        <v>15</v>
      </c>
      <c r="K8" s="16" t="s">
        <v>15</v>
      </c>
      <c r="L8" s="16" t="s">
        <v>15</v>
      </c>
      <c r="M8" s="16" t="s">
        <v>15</v>
      </c>
      <c r="N8" s="16" t="s">
        <v>15</v>
      </c>
      <c r="O8" s="16" t="s">
        <v>15</v>
      </c>
      <c r="P8" s="16" t="s">
        <v>15</v>
      </c>
      <c r="Q8" s="16" t="s">
        <v>15</v>
      </c>
      <c r="R8" s="16" t="s">
        <v>15</v>
      </c>
      <c r="S8" s="16" t="s">
        <v>15</v>
      </c>
      <c r="T8" s="16" t="s">
        <v>15</v>
      </c>
      <c r="U8" s="16" t="s">
        <v>15</v>
      </c>
      <c r="V8" s="16" t="s">
        <v>15</v>
      </c>
      <c r="W8" s="16" t="s">
        <v>15</v>
      </c>
      <c r="X8" s="22">
        <f t="shared" si="1"/>
        <v>1</v>
      </c>
      <c r="Y8" s="16" t="s">
        <v>15</v>
      </c>
      <c r="Z8" s="16" t="s">
        <v>15</v>
      </c>
      <c r="AA8" s="16" t="s">
        <v>15</v>
      </c>
      <c r="AB8" s="16" t="s">
        <v>15</v>
      </c>
      <c r="AC8" s="16" t="s">
        <v>15</v>
      </c>
      <c r="AD8" s="16" t="s">
        <v>15</v>
      </c>
      <c r="AE8" s="202" t="s">
        <v>15</v>
      </c>
      <c r="AF8" s="154" t="s">
        <v>15</v>
      </c>
      <c r="AG8" s="154" t="s">
        <v>15</v>
      </c>
      <c r="AH8" s="16" t="s">
        <v>15</v>
      </c>
      <c r="AI8" s="16" t="s">
        <v>15</v>
      </c>
      <c r="AJ8" s="154" t="s">
        <v>15</v>
      </c>
      <c r="AK8" s="154" t="s">
        <v>15</v>
      </c>
      <c r="AL8" s="154" t="s">
        <v>15</v>
      </c>
      <c r="AM8" s="154" t="s">
        <v>15</v>
      </c>
      <c r="AN8" s="154" t="s">
        <v>15</v>
      </c>
      <c r="AO8" s="154" t="s">
        <v>15</v>
      </c>
      <c r="AP8" s="16" t="s">
        <v>15</v>
      </c>
      <c r="AQ8" s="16" t="s">
        <v>16</v>
      </c>
      <c r="AR8" s="154" t="s">
        <v>15</v>
      </c>
      <c r="AS8" s="22">
        <f t="shared" si="2"/>
        <v>0.95</v>
      </c>
      <c r="AT8" s="16" t="s">
        <v>15</v>
      </c>
      <c r="AU8" s="154" t="s">
        <v>15</v>
      </c>
      <c r="AV8" s="16" t="s">
        <v>15</v>
      </c>
      <c r="AW8" s="16" t="s">
        <v>15</v>
      </c>
      <c r="AX8" s="16" t="s">
        <v>15</v>
      </c>
      <c r="AY8" s="16" t="s">
        <v>16</v>
      </c>
      <c r="AZ8" s="16" t="s">
        <v>16</v>
      </c>
      <c r="BA8" s="22">
        <f t="shared" si="3"/>
        <v>0.7142857143</v>
      </c>
      <c r="BB8" s="16" t="s">
        <v>15</v>
      </c>
      <c r="BC8" s="16" t="s">
        <v>15</v>
      </c>
      <c r="BD8" s="154" t="s">
        <v>15</v>
      </c>
      <c r="BE8" s="16" t="s">
        <v>15</v>
      </c>
      <c r="BF8" s="16" t="s">
        <v>15</v>
      </c>
      <c r="BG8" s="16" t="s">
        <v>15</v>
      </c>
      <c r="BH8" s="16" t="s">
        <v>15</v>
      </c>
      <c r="BI8" s="16" t="s">
        <v>15</v>
      </c>
      <c r="BJ8" s="154" t="s">
        <v>15</v>
      </c>
      <c r="BK8" s="154" t="s">
        <v>15</v>
      </c>
      <c r="BL8" s="154" t="s">
        <v>15</v>
      </c>
      <c r="BM8" s="154" t="s">
        <v>15</v>
      </c>
      <c r="BN8" s="204" t="s">
        <v>15</v>
      </c>
      <c r="BO8" s="202" t="s">
        <v>15</v>
      </c>
      <c r="BP8" s="204" t="s">
        <v>15</v>
      </c>
      <c r="BQ8" s="204" t="s">
        <v>15</v>
      </c>
      <c r="BR8" s="204" t="s">
        <v>15</v>
      </c>
      <c r="BS8" s="204" t="s">
        <v>15</v>
      </c>
      <c r="BT8" s="204" t="s">
        <v>15</v>
      </c>
      <c r="BU8" s="202" t="s">
        <v>15</v>
      </c>
      <c r="BV8" s="204" t="s">
        <v>15</v>
      </c>
      <c r="BW8" s="154" t="s">
        <v>15</v>
      </c>
      <c r="BX8" s="22">
        <f t="shared" si="4"/>
        <v>1</v>
      </c>
    </row>
    <row r="9">
      <c r="A9" s="24">
        <v>5.0</v>
      </c>
      <c r="B9" s="62"/>
      <c r="C9" s="58"/>
      <c r="D9" s="16" t="s">
        <v>15</v>
      </c>
      <c r="E9" s="16" t="s">
        <v>15</v>
      </c>
      <c r="F9" s="16" t="s">
        <v>15</v>
      </c>
      <c r="G9" s="16" t="s">
        <v>16</v>
      </c>
      <c r="H9" s="16" t="s">
        <v>15</v>
      </c>
      <c r="I9" s="16" t="s">
        <v>15</v>
      </c>
      <c r="J9" s="16" t="s">
        <v>15</v>
      </c>
      <c r="K9" s="16" t="s">
        <v>15</v>
      </c>
      <c r="L9" s="16" t="s">
        <v>15</v>
      </c>
      <c r="M9" s="16" t="s">
        <v>16</v>
      </c>
      <c r="N9" s="16" t="s">
        <v>15</v>
      </c>
      <c r="O9" s="16" t="s">
        <v>16</v>
      </c>
      <c r="P9" s="16" t="s">
        <v>15</v>
      </c>
      <c r="Q9" s="16" t="s">
        <v>15</v>
      </c>
      <c r="R9" s="16" t="s">
        <v>15</v>
      </c>
      <c r="S9" s="16" t="s">
        <v>16</v>
      </c>
      <c r="T9" s="16" t="s">
        <v>15</v>
      </c>
      <c r="U9" s="16" t="s">
        <v>15</v>
      </c>
      <c r="V9" s="16" t="s">
        <v>15</v>
      </c>
      <c r="W9" s="16" t="s">
        <v>16</v>
      </c>
      <c r="X9" s="22">
        <f t="shared" si="1"/>
        <v>0.75</v>
      </c>
      <c r="Y9" s="16" t="s">
        <v>15</v>
      </c>
      <c r="Z9" s="16" t="s">
        <v>15</v>
      </c>
      <c r="AA9" s="16" t="s">
        <v>15</v>
      </c>
      <c r="AB9" s="16" t="s">
        <v>15</v>
      </c>
      <c r="AC9" s="16" t="s">
        <v>15</v>
      </c>
      <c r="AD9" s="16" t="s">
        <v>16</v>
      </c>
      <c r="AE9" s="154" t="s">
        <v>15</v>
      </c>
      <c r="AF9" s="154" t="s">
        <v>15</v>
      </c>
      <c r="AG9" s="154" t="s">
        <v>16</v>
      </c>
      <c r="AH9" s="16" t="s">
        <v>15</v>
      </c>
      <c r="AI9" s="16" t="s">
        <v>16</v>
      </c>
      <c r="AJ9" s="154" t="s">
        <v>15</v>
      </c>
      <c r="AK9" s="154" t="s">
        <v>15</v>
      </c>
      <c r="AL9" s="154" t="s">
        <v>15</v>
      </c>
      <c r="AM9" s="154" t="s">
        <v>15</v>
      </c>
      <c r="AN9" s="154" t="s">
        <v>16</v>
      </c>
      <c r="AO9" s="154" t="s">
        <v>15</v>
      </c>
      <c r="AP9" s="16" t="s">
        <v>16</v>
      </c>
      <c r="AQ9" s="16" t="s">
        <v>16</v>
      </c>
      <c r="AR9" s="154" t="s">
        <v>15</v>
      </c>
      <c r="AS9" s="22">
        <f t="shared" si="2"/>
        <v>0.7</v>
      </c>
      <c r="AT9" s="16" t="s">
        <v>15</v>
      </c>
      <c r="AU9" s="154" t="s">
        <v>15</v>
      </c>
      <c r="AV9" s="16" t="s">
        <v>15</v>
      </c>
      <c r="AW9" s="16" t="s">
        <v>15</v>
      </c>
      <c r="AX9" s="16" t="s">
        <v>16</v>
      </c>
      <c r="AY9" s="16" t="s">
        <v>15</v>
      </c>
      <c r="AZ9" s="16" t="s">
        <v>15</v>
      </c>
      <c r="BA9" s="22">
        <f t="shared" si="3"/>
        <v>0.8571428571</v>
      </c>
      <c r="BB9" s="16" t="s">
        <v>15</v>
      </c>
      <c r="BC9" s="16" t="s">
        <v>16</v>
      </c>
      <c r="BD9" s="154" t="s">
        <v>15</v>
      </c>
      <c r="BE9" s="16" t="s">
        <v>15</v>
      </c>
      <c r="BF9" s="16" t="s">
        <v>15</v>
      </c>
      <c r="BG9" s="16" t="s">
        <v>16</v>
      </c>
      <c r="BH9" s="16" t="s">
        <v>15</v>
      </c>
      <c r="BI9" s="16" t="s">
        <v>15</v>
      </c>
      <c r="BJ9" s="154" t="s">
        <v>16</v>
      </c>
      <c r="BK9" s="154" t="s">
        <v>15</v>
      </c>
      <c r="BL9" s="154" t="s">
        <v>15</v>
      </c>
      <c r="BM9" s="154" t="s">
        <v>15</v>
      </c>
      <c r="BN9" s="204" t="s">
        <v>15</v>
      </c>
      <c r="BO9" s="202" t="s">
        <v>15</v>
      </c>
      <c r="BP9" s="154" t="s">
        <v>16</v>
      </c>
      <c r="BQ9" s="154" t="s">
        <v>15</v>
      </c>
      <c r="BR9" s="154" t="s">
        <v>15</v>
      </c>
      <c r="BS9" s="154" t="s">
        <v>15</v>
      </c>
      <c r="BT9" s="202" t="s">
        <v>15</v>
      </c>
      <c r="BU9" s="202" t="s">
        <v>16</v>
      </c>
      <c r="BV9" s="154" t="s">
        <v>15</v>
      </c>
      <c r="BW9" s="202" t="s">
        <v>16</v>
      </c>
      <c r="BX9" s="22">
        <f t="shared" si="4"/>
        <v>0.7272727273</v>
      </c>
    </row>
    <row r="10">
      <c r="A10" s="24">
        <v>6.0</v>
      </c>
      <c r="B10" s="81"/>
      <c r="C10" s="58"/>
      <c r="D10" s="16" t="s">
        <v>15</v>
      </c>
      <c r="E10" s="16" t="s">
        <v>15</v>
      </c>
      <c r="F10" s="16" t="s">
        <v>15</v>
      </c>
      <c r="G10" s="16" t="s">
        <v>15</v>
      </c>
      <c r="H10" s="16" t="s">
        <v>15</v>
      </c>
      <c r="I10" s="16" t="s">
        <v>15</v>
      </c>
      <c r="J10" s="16" t="s">
        <v>15</v>
      </c>
      <c r="K10" s="16" t="s">
        <v>16</v>
      </c>
      <c r="L10" s="16" t="s">
        <v>15</v>
      </c>
      <c r="M10" s="16" t="s">
        <v>15</v>
      </c>
      <c r="N10" s="16" t="s">
        <v>15</v>
      </c>
      <c r="O10" s="16" t="s">
        <v>16</v>
      </c>
      <c r="P10" s="16" t="s">
        <v>15</v>
      </c>
      <c r="Q10" s="16" t="s">
        <v>15</v>
      </c>
      <c r="R10" s="16" t="s">
        <v>15</v>
      </c>
      <c r="S10" s="16" t="s">
        <v>16</v>
      </c>
      <c r="T10" s="16" t="s">
        <v>15</v>
      </c>
      <c r="U10" s="16" t="s">
        <v>15</v>
      </c>
      <c r="V10" s="16" t="s">
        <v>15</v>
      </c>
      <c r="W10" s="16" t="s">
        <v>16</v>
      </c>
      <c r="X10" s="22">
        <f t="shared" si="1"/>
        <v>0.8</v>
      </c>
      <c r="Y10" s="16" t="s">
        <v>15</v>
      </c>
      <c r="Z10" s="16" t="s">
        <v>15</v>
      </c>
      <c r="AA10" s="16" t="s">
        <v>15</v>
      </c>
      <c r="AB10" s="16" t="s">
        <v>15</v>
      </c>
      <c r="AC10" s="16" t="s">
        <v>15</v>
      </c>
      <c r="AD10" s="16" t="s">
        <v>15</v>
      </c>
      <c r="AE10" s="202" t="s">
        <v>15</v>
      </c>
      <c r="AF10" s="154" t="s">
        <v>15</v>
      </c>
      <c r="AG10" s="154" t="s">
        <v>16</v>
      </c>
      <c r="AH10" s="16" t="s">
        <v>15</v>
      </c>
      <c r="AI10" s="16" t="s">
        <v>16</v>
      </c>
      <c r="AJ10" s="154" t="s">
        <v>15</v>
      </c>
      <c r="AK10" s="154" t="s">
        <v>15</v>
      </c>
      <c r="AL10" s="154" t="s">
        <v>15</v>
      </c>
      <c r="AM10" s="154" t="s">
        <v>15</v>
      </c>
      <c r="AN10" s="154" t="s">
        <v>16</v>
      </c>
      <c r="AO10" s="154" t="s">
        <v>15</v>
      </c>
      <c r="AP10" s="16" t="s">
        <v>16</v>
      </c>
      <c r="AQ10" s="16" t="s">
        <v>15</v>
      </c>
      <c r="AR10" s="154" t="s">
        <v>16</v>
      </c>
      <c r="AS10" s="22">
        <f t="shared" si="2"/>
        <v>0.75</v>
      </c>
      <c r="AT10" s="16" t="s">
        <v>16</v>
      </c>
      <c r="AU10" s="154" t="s">
        <v>15</v>
      </c>
      <c r="AV10" s="16" t="s">
        <v>15</v>
      </c>
      <c r="AW10" s="16" t="s">
        <v>15</v>
      </c>
      <c r="AX10" s="16" t="s">
        <v>15</v>
      </c>
      <c r="AY10" s="16" t="s">
        <v>15</v>
      </c>
      <c r="AZ10" s="16" t="s">
        <v>15</v>
      </c>
      <c r="BA10" s="22">
        <f t="shared" si="3"/>
        <v>0.8571428571</v>
      </c>
      <c r="BB10" s="16" t="s">
        <v>15</v>
      </c>
      <c r="BC10" s="16" t="s">
        <v>16</v>
      </c>
      <c r="BD10" s="154" t="s">
        <v>15</v>
      </c>
      <c r="BE10" s="16" t="s">
        <v>15</v>
      </c>
      <c r="BF10" s="16" t="s">
        <v>15</v>
      </c>
      <c r="BG10" s="16" t="s">
        <v>16</v>
      </c>
      <c r="BH10" s="16" t="s">
        <v>16</v>
      </c>
      <c r="BI10" s="16" t="s">
        <v>15</v>
      </c>
      <c r="BJ10" s="154" t="s">
        <v>15</v>
      </c>
      <c r="BK10" s="154" t="s">
        <v>16</v>
      </c>
      <c r="BL10" s="154" t="s">
        <v>16</v>
      </c>
      <c r="BM10" s="154" t="s">
        <v>15</v>
      </c>
      <c r="BN10" s="154" t="s">
        <v>16</v>
      </c>
      <c r="BO10" s="202" t="s">
        <v>15</v>
      </c>
      <c r="BP10" s="204" t="s">
        <v>15</v>
      </c>
      <c r="BQ10" s="204" t="s">
        <v>15</v>
      </c>
      <c r="BR10" s="204" t="s">
        <v>15</v>
      </c>
      <c r="BS10" s="204" t="s">
        <v>15</v>
      </c>
      <c r="BT10" s="204" t="s">
        <v>15</v>
      </c>
      <c r="BU10" s="202" t="s">
        <v>15</v>
      </c>
      <c r="BV10" s="204" t="s">
        <v>15</v>
      </c>
      <c r="BW10" s="154" t="s">
        <v>15</v>
      </c>
      <c r="BX10" s="22">
        <f t="shared" si="4"/>
        <v>0.7272727273</v>
      </c>
    </row>
    <row r="11">
      <c r="A11" s="24">
        <v>7.0</v>
      </c>
      <c r="B11" s="81"/>
      <c r="C11" s="58"/>
      <c r="D11" s="16" t="s">
        <v>15</v>
      </c>
      <c r="E11" s="16" t="s">
        <v>15</v>
      </c>
      <c r="F11" s="16" t="s">
        <v>15</v>
      </c>
      <c r="G11" s="16" t="s">
        <v>15</v>
      </c>
      <c r="H11" s="16" t="s">
        <v>15</v>
      </c>
      <c r="I11" s="16" t="s">
        <v>16</v>
      </c>
      <c r="J11" s="16" t="s">
        <v>15</v>
      </c>
      <c r="K11" s="16" t="s">
        <v>15</v>
      </c>
      <c r="L11" s="16" t="s">
        <v>15</v>
      </c>
      <c r="M11" s="16" t="s">
        <v>15</v>
      </c>
      <c r="N11" s="16" t="s">
        <v>15</v>
      </c>
      <c r="O11" s="16" t="s">
        <v>15</v>
      </c>
      <c r="P11" s="16" t="s">
        <v>15</v>
      </c>
      <c r="Q11" s="16" t="s">
        <v>16</v>
      </c>
      <c r="R11" s="16" t="s">
        <v>15</v>
      </c>
      <c r="S11" s="16" t="s">
        <v>15</v>
      </c>
      <c r="T11" s="16" t="s">
        <v>15</v>
      </c>
      <c r="U11" s="16" t="s">
        <v>15</v>
      </c>
      <c r="V11" s="16" t="s">
        <v>15</v>
      </c>
      <c r="W11" s="16" t="s">
        <v>15</v>
      </c>
      <c r="X11" s="22">
        <f t="shared" si="1"/>
        <v>0.9</v>
      </c>
      <c r="Y11" s="16" t="s">
        <v>15</v>
      </c>
      <c r="Z11" s="16" t="s">
        <v>15</v>
      </c>
      <c r="AA11" s="16" t="s">
        <v>16</v>
      </c>
      <c r="AB11" s="16" t="s">
        <v>15</v>
      </c>
      <c r="AC11" s="16" t="s">
        <v>15</v>
      </c>
      <c r="AD11" s="16" t="s">
        <v>15</v>
      </c>
      <c r="AE11" s="202" t="s">
        <v>15</v>
      </c>
      <c r="AF11" s="154" t="s">
        <v>15</v>
      </c>
      <c r="AG11" s="154" t="s">
        <v>15</v>
      </c>
      <c r="AH11" s="16" t="s">
        <v>15</v>
      </c>
      <c r="AI11" s="16" t="s">
        <v>15</v>
      </c>
      <c r="AJ11" s="154" t="s">
        <v>15</v>
      </c>
      <c r="AK11" s="154" t="s">
        <v>15</v>
      </c>
      <c r="AL11" s="154" t="s">
        <v>16</v>
      </c>
      <c r="AM11" s="154" t="s">
        <v>15</v>
      </c>
      <c r="AN11" s="154" t="s">
        <v>15</v>
      </c>
      <c r="AO11" s="154" t="s">
        <v>16</v>
      </c>
      <c r="AP11" s="16" t="s">
        <v>15</v>
      </c>
      <c r="AQ11" s="16" t="s">
        <v>15</v>
      </c>
      <c r="AR11" s="154" t="s">
        <v>15</v>
      </c>
      <c r="AS11" s="22">
        <f t="shared" si="2"/>
        <v>0.85</v>
      </c>
      <c r="AT11" s="16" t="s">
        <v>15</v>
      </c>
      <c r="AU11" s="154" t="s">
        <v>15</v>
      </c>
      <c r="AV11" s="16" t="s">
        <v>15</v>
      </c>
      <c r="AW11" s="16" t="s">
        <v>15</v>
      </c>
      <c r="AX11" s="16" t="s">
        <v>15</v>
      </c>
      <c r="AY11" s="16" t="s">
        <v>16</v>
      </c>
      <c r="AZ11" s="16" t="s">
        <v>15</v>
      </c>
      <c r="BA11" s="22">
        <f t="shared" si="3"/>
        <v>0.8571428571</v>
      </c>
      <c r="BB11" s="16" t="s">
        <v>15</v>
      </c>
      <c r="BC11" s="16" t="s">
        <v>15</v>
      </c>
      <c r="BD11" s="154" t="s">
        <v>16</v>
      </c>
      <c r="BE11" s="16" t="s">
        <v>15</v>
      </c>
      <c r="BF11" s="16" t="s">
        <v>15</v>
      </c>
      <c r="BG11" s="16" t="s">
        <v>15</v>
      </c>
      <c r="BH11" s="16" t="s">
        <v>15</v>
      </c>
      <c r="BI11" s="16" t="s">
        <v>15</v>
      </c>
      <c r="BJ11" s="154" t="s">
        <v>15</v>
      </c>
      <c r="BK11" s="154" t="s">
        <v>15</v>
      </c>
      <c r="BL11" s="154" t="s">
        <v>15</v>
      </c>
      <c r="BM11" s="154" t="s">
        <v>16</v>
      </c>
      <c r="BN11" s="154" t="s">
        <v>15</v>
      </c>
      <c r="BO11" s="202" t="s">
        <v>15</v>
      </c>
      <c r="BP11" s="154" t="s">
        <v>16</v>
      </c>
      <c r="BQ11" s="154" t="s">
        <v>15</v>
      </c>
      <c r="BR11" s="154" t="s">
        <v>16</v>
      </c>
      <c r="BS11" s="154" t="s">
        <v>15</v>
      </c>
      <c r="BT11" s="202" t="s">
        <v>15</v>
      </c>
      <c r="BU11" s="202" t="s">
        <v>15</v>
      </c>
      <c r="BV11" s="154" t="s">
        <v>15</v>
      </c>
      <c r="BW11" s="202" t="s">
        <v>16</v>
      </c>
      <c r="BX11" s="22">
        <f t="shared" si="4"/>
        <v>0.7727272727</v>
      </c>
    </row>
    <row r="12">
      <c r="A12" s="24">
        <v>8.0</v>
      </c>
      <c r="B12" s="57"/>
      <c r="C12" s="58"/>
      <c r="D12" s="16" t="s">
        <v>15</v>
      </c>
      <c r="E12" s="16" t="s">
        <v>15</v>
      </c>
      <c r="F12" s="16" t="s">
        <v>15</v>
      </c>
      <c r="G12" s="16" t="s">
        <v>15</v>
      </c>
      <c r="H12" s="16" t="s">
        <v>15</v>
      </c>
      <c r="I12" s="16" t="s">
        <v>16</v>
      </c>
      <c r="J12" s="16" t="s">
        <v>15</v>
      </c>
      <c r="K12" s="16" t="s">
        <v>15</v>
      </c>
      <c r="L12" s="16" t="s">
        <v>15</v>
      </c>
      <c r="M12" s="16" t="s">
        <v>15</v>
      </c>
      <c r="N12" s="16" t="s">
        <v>15</v>
      </c>
      <c r="O12" s="16" t="s">
        <v>15</v>
      </c>
      <c r="P12" s="16" t="s">
        <v>15</v>
      </c>
      <c r="Q12" s="16" t="s">
        <v>15</v>
      </c>
      <c r="R12" s="16" t="s">
        <v>15</v>
      </c>
      <c r="S12" s="16" t="s">
        <v>15</v>
      </c>
      <c r="T12" s="16" t="s">
        <v>15</v>
      </c>
      <c r="U12" s="16" t="s">
        <v>15</v>
      </c>
      <c r="V12" s="16" t="s">
        <v>15</v>
      </c>
      <c r="W12" s="16" t="s">
        <v>15</v>
      </c>
      <c r="X12" s="22">
        <f t="shared" si="1"/>
        <v>0.95</v>
      </c>
      <c r="Y12" s="16" t="s">
        <v>16</v>
      </c>
      <c r="Z12" s="16" t="s">
        <v>15</v>
      </c>
      <c r="AA12" s="16" t="s">
        <v>16</v>
      </c>
      <c r="AB12" s="16" t="s">
        <v>15</v>
      </c>
      <c r="AC12" s="16" t="s">
        <v>15</v>
      </c>
      <c r="AD12" s="16" t="s">
        <v>15</v>
      </c>
      <c r="AE12" s="16" t="s">
        <v>16</v>
      </c>
      <c r="AF12" s="16" t="s">
        <v>15</v>
      </c>
      <c r="AG12" s="16" t="s">
        <v>15</v>
      </c>
      <c r="AH12" s="16" t="s">
        <v>15</v>
      </c>
      <c r="AI12" s="16" t="s">
        <v>15</v>
      </c>
      <c r="AJ12" s="16" t="s">
        <v>15</v>
      </c>
      <c r="AK12" s="16" t="s">
        <v>15</v>
      </c>
      <c r="AL12" s="16" t="s">
        <v>15</v>
      </c>
      <c r="AM12" s="16" t="s">
        <v>15</v>
      </c>
      <c r="AN12" s="16" t="s">
        <v>16</v>
      </c>
      <c r="AO12" s="16" t="s">
        <v>15</v>
      </c>
      <c r="AP12" s="16" t="s">
        <v>15</v>
      </c>
      <c r="AQ12" s="16" t="s">
        <v>15</v>
      </c>
      <c r="AR12" s="16" t="s">
        <v>15</v>
      </c>
      <c r="AS12" s="22">
        <f t="shared" si="2"/>
        <v>0.8</v>
      </c>
      <c r="AT12" s="16" t="s">
        <v>16</v>
      </c>
      <c r="AU12" s="16" t="s">
        <v>15</v>
      </c>
      <c r="AV12" s="16" t="s">
        <v>15</v>
      </c>
      <c r="AW12" s="16" t="s">
        <v>15</v>
      </c>
      <c r="AX12" s="16" t="s">
        <v>15</v>
      </c>
      <c r="AY12" s="16" t="s">
        <v>16</v>
      </c>
      <c r="AZ12" s="16" t="s">
        <v>15</v>
      </c>
      <c r="BA12" s="22">
        <f t="shared" si="3"/>
        <v>0.7142857143</v>
      </c>
      <c r="BB12" s="16" t="s">
        <v>15</v>
      </c>
      <c r="BC12" s="16" t="s">
        <v>15</v>
      </c>
      <c r="BD12" s="16" t="s">
        <v>16</v>
      </c>
      <c r="BE12" s="16" t="s">
        <v>16</v>
      </c>
      <c r="BF12" s="16" t="s">
        <v>15</v>
      </c>
      <c r="BG12" s="16" t="s">
        <v>16</v>
      </c>
      <c r="BH12" s="16" t="s">
        <v>15</v>
      </c>
      <c r="BI12" s="16" t="s">
        <v>15</v>
      </c>
      <c r="BJ12" s="154" t="s">
        <v>15</v>
      </c>
      <c r="BK12" s="154" t="s">
        <v>15</v>
      </c>
      <c r="BL12" s="154" t="s">
        <v>15</v>
      </c>
      <c r="BM12" s="154" t="s">
        <v>15</v>
      </c>
      <c r="BN12" s="204" t="s">
        <v>15</v>
      </c>
      <c r="BO12" s="202" t="s">
        <v>15</v>
      </c>
      <c r="BP12" s="204" t="s">
        <v>15</v>
      </c>
      <c r="BQ12" s="204" t="s">
        <v>15</v>
      </c>
      <c r="BR12" s="204" t="s">
        <v>15</v>
      </c>
      <c r="BS12" s="204" t="s">
        <v>15</v>
      </c>
      <c r="BT12" s="204" t="s">
        <v>15</v>
      </c>
      <c r="BU12" s="202" t="s">
        <v>15</v>
      </c>
      <c r="BV12" s="204" t="s">
        <v>15</v>
      </c>
      <c r="BW12" s="202" t="s">
        <v>16</v>
      </c>
      <c r="BX12" s="22">
        <f t="shared" si="4"/>
        <v>0.8181818182</v>
      </c>
    </row>
    <row r="13">
      <c r="A13" s="24">
        <v>9.0</v>
      </c>
      <c r="B13" s="46"/>
      <c r="C13" s="153"/>
      <c r="D13" s="16" t="s">
        <v>15</v>
      </c>
      <c r="E13" s="16" t="s">
        <v>15</v>
      </c>
      <c r="F13" s="16" t="s">
        <v>16</v>
      </c>
      <c r="G13" s="16" t="s">
        <v>16</v>
      </c>
      <c r="H13" s="16" t="s">
        <v>15</v>
      </c>
      <c r="I13" s="16" t="s">
        <v>15</v>
      </c>
      <c r="J13" s="16" t="s">
        <v>15</v>
      </c>
      <c r="K13" s="16" t="s">
        <v>15</v>
      </c>
      <c r="L13" s="16" t="s">
        <v>15</v>
      </c>
      <c r="M13" s="16" t="s">
        <v>15</v>
      </c>
      <c r="N13" s="16" t="s">
        <v>15</v>
      </c>
      <c r="O13" s="16" t="s">
        <v>15</v>
      </c>
      <c r="P13" s="16" t="s">
        <v>15</v>
      </c>
      <c r="Q13" s="16" t="s">
        <v>15</v>
      </c>
      <c r="R13" s="16" t="s">
        <v>15</v>
      </c>
      <c r="S13" s="16" t="s">
        <v>16</v>
      </c>
      <c r="T13" s="16" t="s">
        <v>15</v>
      </c>
      <c r="U13" s="16" t="s">
        <v>15</v>
      </c>
      <c r="V13" s="16" t="s">
        <v>15</v>
      </c>
      <c r="W13" s="16" t="s">
        <v>15</v>
      </c>
      <c r="X13" s="22">
        <f t="shared" si="1"/>
        <v>0.85</v>
      </c>
      <c r="Y13" s="16" t="s">
        <v>15</v>
      </c>
      <c r="Z13" s="16" t="s">
        <v>15</v>
      </c>
      <c r="AA13" s="16" t="s">
        <v>15</v>
      </c>
      <c r="AB13" s="16" t="s">
        <v>15</v>
      </c>
      <c r="AC13" s="16" t="s">
        <v>15</v>
      </c>
      <c r="AD13" s="16" t="s">
        <v>15</v>
      </c>
      <c r="AE13" s="202" t="s">
        <v>15</v>
      </c>
      <c r="AF13" s="154" t="s">
        <v>15</v>
      </c>
      <c r="AG13" s="154" t="s">
        <v>15</v>
      </c>
      <c r="AH13" s="16" t="s">
        <v>15</v>
      </c>
      <c r="AI13" s="16" t="s">
        <v>15</v>
      </c>
      <c r="AJ13" s="154" t="s">
        <v>15</v>
      </c>
      <c r="AK13" s="154" t="s">
        <v>15</v>
      </c>
      <c r="AL13" s="154" t="s">
        <v>15</v>
      </c>
      <c r="AM13" s="154" t="s">
        <v>15</v>
      </c>
      <c r="AN13" s="154" t="s">
        <v>16</v>
      </c>
      <c r="AO13" s="154" t="s">
        <v>15</v>
      </c>
      <c r="AP13" s="16" t="s">
        <v>15</v>
      </c>
      <c r="AQ13" s="16" t="s">
        <v>16</v>
      </c>
      <c r="AR13" s="154" t="s">
        <v>15</v>
      </c>
      <c r="AS13" s="22">
        <f t="shared" si="2"/>
        <v>0.9</v>
      </c>
      <c r="AT13" s="16" t="s">
        <v>15</v>
      </c>
      <c r="AU13" s="154" t="s">
        <v>15</v>
      </c>
      <c r="AV13" s="16" t="s">
        <v>15</v>
      </c>
      <c r="AW13" s="16" t="s">
        <v>15</v>
      </c>
      <c r="AX13" s="16" t="s">
        <v>15</v>
      </c>
      <c r="AY13" s="16" t="s">
        <v>15</v>
      </c>
      <c r="AZ13" s="16" t="s">
        <v>15</v>
      </c>
      <c r="BA13" s="22">
        <f t="shared" si="3"/>
        <v>1</v>
      </c>
      <c r="BB13" s="16" t="s">
        <v>15</v>
      </c>
      <c r="BC13" s="16" t="s">
        <v>15</v>
      </c>
      <c r="BD13" s="154" t="s">
        <v>15</v>
      </c>
      <c r="BE13" s="16" t="s">
        <v>15</v>
      </c>
      <c r="BF13" s="16" t="s">
        <v>15</v>
      </c>
      <c r="BG13" s="16" t="s">
        <v>15</v>
      </c>
      <c r="BH13" s="16" t="s">
        <v>15</v>
      </c>
      <c r="BI13" s="16" t="s">
        <v>16</v>
      </c>
      <c r="BJ13" s="154" t="s">
        <v>15</v>
      </c>
      <c r="BK13" s="154" t="s">
        <v>15</v>
      </c>
      <c r="BL13" s="154" t="s">
        <v>16</v>
      </c>
      <c r="BM13" s="154" t="s">
        <v>15</v>
      </c>
      <c r="BN13" s="204" t="s">
        <v>15</v>
      </c>
      <c r="BO13" s="202" t="s">
        <v>15</v>
      </c>
      <c r="BP13" s="154" t="s">
        <v>15</v>
      </c>
      <c r="BQ13" s="154" t="s">
        <v>15</v>
      </c>
      <c r="BR13" s="154" t="s">
        <v>15</v>
      </c>
      <c r="BS13" s="154" t="s">
        <v>15</v>
      </c>
      <c r="BT13" s="202" t="s">
        <v>15</v>
      </c>
      <c r="BU13" s="202" t="s">
        <v>15</v>
      </c>
      <c r="BV13" s="154" t="s">
        <v>16</v>
      </c>
      <c r="BW13" s="154" t="s">
        <v>15</v>
      </c>
      <c r="BX13" s="22">
        <f t="shared" si="4"/>
        <v>0.8636363636</v>
      </c>
    </row>
    <row r="14">
      <c r="A14" s="24">
        <v>10.0</v>
      </c>
      <c r="B14" s="62"/>
      <c r="C14" s="58"/>
      <c r="D14" s="16" t="s">
        <v>15</v>
      </c>
      <c r="E14" s="16" t="s">
        <v>15</v>
      </c>
      <c r="F14" s="16" t="s">
        <v>15</v>
      </c>
      <c r="G14" s="16" t="s">
        <v>15</v>
      </c>
      <c r="H14" s="16" t="s">
        <v>15</v>
      </c>
      <c r="I14" s="16" t="s">
        <v>15</v>
      </c>
      <c r="J14" s="16" t="s">
        <v>15</v>
      </c>
      <c r="K14" s="16" t="s">
        <v>15</v>
      </c>
      <c r="L14" s="16" t="s">
        <v>15</v>
      </c>
      <c r="M14" s="16" t="s">
        <v>16</v>
      </c>
      <c r="N14" s="16" t="s">
        <v>15</v>
      </c>
      <c r="O14" s="16" t="s">
        <v>15</v>
      </c>
      <c r="P14" s="16" t="s">
        <v>15</v>
      </c>
      <c r="Q14" s="16" t="s">
        <v>15</v>
      </c>
      <c r="R14" s="16" t="s">
        <v>16</v>
      </c>
      <c r="S14" s="16" t="s">
        <v>16</v>
      </c>
      <c r="T14" s="16" t="s">
        <v>15</v>
      </c>
      <c r="U14" s="16" t="s">
        <v>15</v>
      </c>
      <c r="V14" s="16" t="s">
        <v>15</v>
      </c>
      <c r="W14" s="16" t="s">
        <v>16</v>
      </c>
      <c r="X14" s="22">
        <f t="shared" si="1"/>
        <v>0.8</v>
      </c>
      <c r="Y14" s="16" t="s">
        <v>15</v>
      </c>
      <c r="Z14" s="16" t="s">
        <v>15</v>
      </c>
      <c r="AA14" s="16" t="s">
        <v>15</v>
      </c>
      <c r="AB14" s="16" t="s">
        <v>16</v>
      </c>
      <c r="AC14" s="16" t="s">
        <v>15</v>
      </c>
      <c r="AD14" s="16" t="s">
        <v>16</v>
      </c>
      <c r="AE14" s="154" t="s">
        <v>15</v>
      </c>
      <c r="AF14" s="154" t="s">
        <v>16</v>
      </c>
      <c r="AG14" s="154" t="s">
        <v>15</v>
      </c>
      <c r="AH14" s="16" t="s">
        <v>15</v>
      </c>
      <c r="AI14" s="16" t="s">
        <v>15</v>
      </c>
      <c r="AJ14" s="154" t="s">
        <v>16</v>
      </c>
      <c r="AK14" s="154" t="s">
        <v>15</v>
      </c>
      <c r="AL14" s="154" t="s">
        <v>16</v>
      </c>
      <c r="AM14" s="154" t="s">
        <v>16</v>
      </c>
      <c r="AN14" s="154" t="s">
        <v>15</v>
      </c>
      <c r="AO14" s="154" t="s">
        <v>15</v>
      </c>
      <c r="AP14" s="16" t="s">
        <v>16</v>
      </c>
      <c r="AQ14" s="16" t="s">
        <v>15</v>
      </c>
      <c r="AR14" s="154" t="s">
        <v>16</v>
      </c>
      <c r="AS14" s="22">
        <f t="shared" si="2"/>
        <v>0.6</v>
      </c>
      <c r="AT14" s="16" t="s">
        <v>15</v>
      </c>
      <c r="AU14" s="154" t="s">
        <v>15</v>
      </c>
      <c r="AV14" s="16" t="s">
        <v>15</v>
      </c>
      <c r="AW14" s="16" t="s">
        <v>16</v>
      </c>
      <c r="AX14" s="16" t="s">
        <v>16</v>
      </c>
      <c r="AY14" s="16" t="s">
        <v>15</v>
      </c>
      <c r="AZ14" s="16" t="s">
        <v>16</v>
      </c>
      <c r="BA14" s="22">
        <f t="shared" si="3"/>
        <v>0.5714285714</v>
      </c>
      <c r="BB14" s="16" t="s">
        <v>16</v>
      </c>
      <c r="BC14" s="16" t="s">
        <v>15</v>
      </c>
      <c r="BD14" s="154" t="s">
        <v>15</v>
      </c>
      <c r="BE14" s="16" t="s">
        <v>15</v>
      </c>
      <c r="BF14" s="16" t="s">
        <v>15</v>
      </c>
      <c r="BG14" s="16" t="s">
        <v>16</v>
      </c>
      <c r="BH14" s="16" t="s">
        <v>15</v>
      </c>
      <c r="BI14" s="16" t="s">
        <v>16</v>
      </c>
      <c r="BJ14" s="154" t="s">
        <v>15</v>
      </c>
      <c r="BK14" s="154" t="s">
        <v>16</v>
      </c>
      <c r="BL14" s="154" t="s">
        <v>16</v>
      </c>
      <c r="BM14" s="154" t="s">
        <v>15</v>
      </c>
      <c r="BN14" s="204" t="s">
        <v>15</v>
      </c>
      <c r="BO14" s="154" t="s">
        <v>16</v>
      </c>
      <c r="BP14" s="154" t="s">
        <v>15</v>
      </c>
      <c r="BQ14" s="154" t="s">
        <v>15</v>
      </c>
      <c r="BR14" s="154" t="s">
        <v>16</v>
      </c>
      <c r="BS14" s="154" t="s">
        <v>15</v>
      </c>
      <c r="BT14" s="202" t="s">
        <v>16</v>
      </c>
      <c r="BU14" s="202" t="s">
        <v>15</v>
      </c>
      <c r="BV14" s="154" t="s">
        <v>15</v>
      </c>
      <c r="BW14" s="202" t="s">
        <v>16</v>
      </c>
      <c r="BX14" s="22">
        <f t="shared" si="4"/>
        <v>0.5909090909</v>
      </c>
    </row>
    <row r="15">
      <c r="A15" s="24">
        <v>11.0</v>
      </c>
      <c r="B15" s="91"/>
      <c r="C15" s="26"/>
      <c r="D15" s="16" t="s">
        <v>15</v>
      </c>
      <c r="E15" s="16" t="s">
        <v>15</v>
      </c>
      <c r="F15" s="16" t="s">
        <v>15</v>
      </c>
      <c r="G15" s="16" t="s">
        <v>15</v>
      </c>
      <c r="H15" s="16" t="s">
        <v>16</v>
      </c>
      <c r="I15" s="16" t="s">
        <v>16</v>
      </c>
      <c r="J15" s="16" t="s">
        <v>15</v>
      </c>
      <c r="K15" s="16" t="s">
        <v>15</v>
      </c>
      <c r="L15" s="16" t="s">
        <v>16</v>
      </c>
      <c r="M15" s="16" t="s">
        <v>15</v>
      </c>
      <c r="N15" s="16" t="s">
        <v>15</v>
      </c>
      <c r="O15" s="16" t="s">
        <v>15</v>
      </c>
      <c r="P15" s="16" t="s">
        <v>15</v>
      </c>
      <c r="Q15" s="16" t="s">
        <v>15</v>
      </c>
      <c r="R15" s="16" t="s">
        <v>15</v>
      </c>
      <c r="S15" s="16" t="s">
        <v>15</v>
      </c>
      <c r="T15" s="16" t="s">
        <v>15</v>
      </c>
      <c r="U15" s="16" t="s">
        <v>15</v>
      </c>
      <c r="V15" s="16" t="s">
        <v>15</v>
      </c>
      <c r="W15" s="16" t="s">
        <v>15</v>
      </c>
      <c r="X15" s="22">
        <f t="shared" si="1"/>
        <v>0.85</v>
      </c>
      <c r="Y15" s="16" t="s">
        <v>15</v>
      </c>
      <c r="Z15" s="16" t="s">
        <v>15</v>
      </c>
      <c r="AA15" s="16" t="s">
        <v>15</v>
      </c>
      <c r="AB15" s="16" t="s">
        <v>15</v>
      </c>
      <c r="AC15" s="16" t="s">
        <v>15</v>
      </c>
      <c r="AD15" s="16" t="s">
        <v>15</v>
      </c>
      <c r="AE15" s="202" t="s">
        <v>15</v>
      </c>
      <c r="AF15" s="154" t="s">
        <v>15</v>
      </c>
      <c r="AG15" s="154" t="s">
        <v>16</v>
      </c>
      <c r="AH15" s="16" t="s">
        <v>15</v>
      </c>
      <c r="AI15" s="16" t="s">
        <v>15</v>
      </c>
      <c r="AJ15" s="154" t="s">
        <v>15</v>
      </c>
      <c r="AK15" s="154" t="s">
        <v>16</v>
      </c>
      <c r="AL15" s="154" t="s">
        <v>16</v>
      </c>
      <c r="AM15" s="154" t="s">
        <v>15</v>
      </c>
      <c r="AN15" s="154" t="s">
        <v>15</v>
      </c>
      <c r="AO15" s="154" t="s">
        <v>15</v>
      </c>
      <c r="AP15" s="16" t="s">
        <v>15</v>
      </c>
      <c r="AQ15" s="16" t="s">
        <v>15</v>
      </c>
      <c r="AR15" s="154" t="s">
        <v>16</v>
      </c>
      <c r="AS15" s="22">
        <f t="shared" si="2"/>
        <v>0.8</v>
      </c>
      <c r="AT15" s="16" t="s">
        <v>15</v>
      </c>
      <c r="AU15" s="154" t="s">
        <v>15</v>
      </c>
      <c r="AV15" s="16" t="s">
        <v>15</v>
      </c>
      <c r="AW15" s="16" t="s">
        <v>15</v>
      </c>
      <c r="AX15" s="16" t="s">
        <v>15</v>
      </c>
      <c r="AY15" s="16" t="s">
        <v>16</v>
      </c>
      <c r="AZ15" s="16" t="s">
        <v>15</v>
      </c>
      <c r="BA15" s="22">
        <f t="shared" si="3"/>
        <v>0.8571428571</v>
      </c>
      <c r="BB15" s="16" t="s">
        <v>16</v>
      </c>
      <c r="BC15" s="16" t="s">
        <v>15</v>
      </c>
      <c r="BD15" s="154" t="s">
        <v>15</v>
      </c>
      <c r="BE15" s="16" t="s">
        <v>15</v>
      </c>
      <c r="BF15" s="16" t="s">
        <v>15</v>
      </c>
      <c r="BG15" s="16" t="s">
        <v>15</v>
      </c>
      <c r="BH15" s="16" t="s">
        <v>15</v>
      </c>
      <c r="BI15" s="16" t="s">
        <v>15</v>
      </c>
      <c r="BJ15" s="154" t="s">
        <v>15</v>
      </c>
      <c r="BK15" s="154" t="s">
        <v>16</v>
      </c>
      <c r="BL15" s="154" t="s">
        <v>15</v>
      </c>
      <c r="BM15" s="154" t="s">
        <v>16</v>
      </c>
      <c r="BN15" s="154" t="s">
        <v>15</v>
      </c>
      <c r="BO15" s="202" t="s">
        <v>15</v>
      </c>
      <c r="BP15" s="154" t="s">
        <v>16</v>
      </c>
      <c r="BQ15" s="154" t="s">
        <v>15</v>
      </c>
      <c r="BR15" s="154" t="s">
        <v>16</v>
      </c>
      <c r="BS15" s="154" t="s">
        <v>15</v>
      </c>
      <c r="BT15" s="202" t="s">
        <v>16</v>
      </c>
      <c r="BU15" s="202" t="s">
        <v>15</v>
      </c>
      <c r="BV15" s="154" t="s">
        <v>16</v>
      </c>
      <c r="BW15" s="154" t="s">
        <v>15</v>
      </c>
      <c r="BX15" s="22">
        <f t="shared" si="4"/>
        <v>0.6818181818</v>
      </c>
    </row>
    <row r="16">
      <c r="A16" s="24">
        <v>12.0</v>
      </c>
      <c r="B16" s="57"/>
      <c r="C16" s="26"/>
      <c r="D16" s="16" t="s">
        <v>15</v>
      </c>
      <c r="E16" s="16" t="s">
        <v>15</v>
      </c>
      <c r="F16" s="16" t="s">
        <v>15</v>
      </c>
      <c r="G16" s="16" t="s">
        <v>15</v>
      </c>
      <c r="H16" s="16" t="s">
        <v>16</v>
      </c>
      <c r="I16" s="16" t="s">
        <v>15</v>
      </c>
      <c r="J16" s="16" t="s">
        <v>15</v>
      </c>
      <c r="K16" s="16" t="s">
        <v>16</v>
      </c>
      <c r="L16" s="16" t="s">
        <v>15</v>
      </c>
      <c r="M16" s="16" t="s">
        <v>16</v>
      </c>
      <c r="N16" s="16" t="s">
        <v>15</v>
      </c>
      <c r="O16" s="16" t="s">
        <v>16</v>
      </c>
      <c r="P16" s="16" t="s">
        <v>15</v>
      </c>
      <c r="Q16" s="16" t="s">
        <v>16</v>
      </c>
      <c r="R16" s="16" t="s">
        <v>15</v>
      </c>
      <c r="S16" s="16" t="s">
        <v>16</v>
      </c>
      <c r="T16" s="16" t="s">
        <v>15</v>
      </c>
      <c r="U16" s="16" t="s">
        <v>15</v>
      </c>
      <c r="V16" s="16" t="s">
        <v>15</v>
      </c>
      <c r="W16" s="16" t="s">
        <v>15</v>
      </c>
      <c r="X16" s="22">
        <f t="shared" si="1"/>
        <v>0.7</v>
      </c>
      <c r="Y16" s="16" t="s">
        <v>15</v>
      </c>
      <c r="Z16" s="16" t="s">
        <v>16</v>
      </c>
      <c r="AA16" s="16" t="s">
        <v>16</v>
      </c>
      <c r="AB16" s="16" t="s">
        <v>16</v>
      </c>
      <c r="AC16" s="16" t="s">
        <v>16</v>
      </c>
      <c r="AD16" s="16" t="s">
        <v>15</v>
      </c>
      <c r="AE16" s="202" t="s">
        <v>15</v>
      </c>
      <c r="AF16" s="154" t="s">
        <v>15</v>
      </c>
      <c r="AG16" s="154" t="s">
        <v>16</v>
      </c>
      <c r="AH16" s="16" t="s">
        <v>15</v>
      </c>
      <c r="AI16" s="16" t="s">
        <v>16</v>
      </c>
      <c r="AJ16" s="154" t="s">
        <v>15</v>
      </c>
      <c r="AK16" s="154" t="s">
        <v>16</v>
      </c>
      <c r="AL16" s="154" t="s">
        <v>15</v>
      </c>
      <c r="AM16" s="154" t="s">
        <v>15</v>
      </c>
      <c r="AN16" s="154" t="s">
        <v>16</v>
      </c>
      <c r="AO16" s="154" t="s">
        <v>15</v>
      </c>
      <c r="AP16" s="16" t="s">
        <v>16</v>
      </c>
      <c r="AQ16" s="16" t="s">
        <v>16</v>
      </c>
      <c r="AR16" s="154" t="s">
        <v>16</v>
      </c>
      <c r="AS16" s="22">
        <f t="shared" si="2"/>
        <v>0.45</v>
      </c>
      <c r="AT16" s="16" t="s">
        <v>15</v>
      </c>
      <c r="AU16" s="154" t="s">
        <v>15</v>
      </c>
      <c r="AV16" s="16" t="s">
        <v>15</v>
      </c>
      <c r="AW16" s="16" t="s">
        <v>15</v>
      </c>
      <c r="AX16" s="16" t="s">
        <v>16</v>
      </c>
      <c r="AY16" s="16" t="s">
        <v>15</v>
      </c>
      <c r="AZ16" s="16" t="s">
        <v>15</v>
      </c>
      <c r="BA16" s="22">
        <f t="shared" si="3"/>
        <v>0.8571428571</v>
      </c>
      <c r="BB16" s="16" t="s">
        <v>16</v>
      </c>
      <c r="BC16" s="16" t="s">
        <v>15</v>
      </c>
      <c r="BD16" s="154" t="s">
        <v>15</v>
      </c>
      <c r="BE16" s="16" t="s">
        <v>15</v>
      </c>
      <c r="BF16" s="16" t="s">
        <v>15</v>
      </c>
      <c r="BG16" s="16" t="s">
        <v>15</v>
      </c>
      <c r="BH16" s="16" t="s">
        <v>15</v>
      </c>
      <c r="BI16" s="16" t="s">
        <v>15</v>
      </c>
      <c r="BJ16" s="154" t="s">
        <v>16</v>
      </c>
      <c r="BK16" s="154" t="s">
        <v>15</v>
      </c>
      <c r="BL16" s="154" t="s">
        <v>15</v>
      </c>
      <c r="BM16" s="154" t="s">
        <v>15</v>
      </c>
      <c r="BN16" s="204" t="s">
        <v>15</v>
      </c>
      <c r="BO16" s="202" t="s">
        <v>15</v>
      </c>
      <c r="BP16" s="154" t="s">
        <v>16</v>
      </c>
      <c r="BQ16" s="154" t="s">
        <v>15</v>
      </c>
      <c r="BR16" s="154" t="s">
        <v>15</v>
      </c>
      <c r="BS16" s="154" t="s">
        <v>15</v>
      </c>
      <c r="BT16" s="202" t="s">
        <v>15</v>
      </c>
      <c r="BU16" s="202" t="s">
        <v>15</v>
      </c>
      <c r="BV16" s="154" t="s">
        <v>16</v>
      </c>
      <c r="BW16" s="154" t="s">
        <v>15</v>
      </c>
      <c r="BX16" s="22">
        <f t="shared" si="4"/>
        <v>0.8181818182</v>
      </c>
    </row>
    <row r="17">
      <c r="A17" s="24">
        <v>13.0</v>
      </c>
      <c r="B17" s="62"/>
      <c r="C17" s="112" t="s">
        <v>32</v>
      </c>
      <c r="D17" s="16" t="s">
        <v>15</v>
      </c>
      <c r="E17" s="16" t="s">
        <v>15</v>
      </c>
      <c r="F17" s="16" t="s">
        <v>16</v>
      </c>
      <c r="G17" s="16" t="s">
        <v>15</v>
      </c>
      <c r="H17" s="16" t="s">
        <v>15</v>
      </c>
      <c r="I17" s="16" t="s">
        <v>15</v>
      </c>
      <c r="J17" s="16" t="s">
        <v>15</v>
      </c>
      <c r="K17" s="16" t="s">
        <v>15</v>
      </c>
      <c r="L17" s="16" t="s">
        <v>15</v>
      </c>
      <c r="M17" s="16" t="s">
        <v>16</v>
      </c>
      <c r="N17" s="16" t="s">
        <v>15</v>
      </c>
      <c r="O17" s="16" t="s">
        <v>16</v>
      </c>
      <c r="P17" s="16" t="s">
        <v>16</v>
      </c>
      <c r="Q17" s="16" t="s">
        <v>15</v>
      </c>
      <c r="R17" s="16" t="s">
        <v>15</v>
      </c>
      <c r="S17" s="16" t="s">
        <v>15</v>
      </c>
      <c r="T17" s="16" t="s">
        <v>15</v>
      </c>
      <c r="U17" s="16" t="s">
        <v>15</v>
      </c>
      <c r="V17" s="16" t="s">
        <v>15</v>
      </c>
      <c r="W17" s="16" t="s">
        <v>15</v>
      </c>
      <c r="X17" s="22">
        <f t="shared" si="1"/>
        <v>0.8</v>
      </c>
      <c r="Y17" s="16" t="s">
        <v>15</v>
      </c>
      <c r="Z17" s="16" t="s">
        <v>15</v>
      </c>
      <c r="AA17" s="16" t="s">
        <v>15</v>
      </c>
      <c r="AB17" s="16" t="s">
        <v>15</v>
      </c>
      <c r="AC17" s="16" t="s">
        <v>16</v>
      </c>
      <c r="AD17" s="16" t="s">
        <v>16</v>
      </c>
      <c r="AE17" s="202" t="s">
        <v>16</v>
      </c>
      <c r="AF17" s="154" t="s">
        <v>16</v>
      </c>
      <c r="AG17" s="154" t="s">
        <v>15</v>
      </c>
      <c r="AH17" s="16" t="s">
        <v>15</v>
      </c>
      <c r="AI17" s="16" t="s">
        <v>15</v>
      </c>
      <c r="AJ17" s="154" t="s">
        <v>15</v>
      </c>
      <c r="AK17" s="154" t="s">
        <v>16</v>
      </c>
      <c r="AL17" s="154" t="s">
        <v>16</v>
      </c>
      <c r="AM17" s="154" t="s">
        <v>15</v>
      </c>
      <c r="AN17" s="154" t="s">
        <v>16</v>
      </c>
      <c r="AO17" s="154" t="s">
        <v>15</v>
      </c>
      <c r="AP17" s="16" t="s">
        <v>16</v>
      </c>
      <c r="AQ17" s="16" t="s">
        <v>16</v>
      </c>
      <c r="AR17" s="154" t="s">
        <v>15</v>
      </c>
      <c r="AS17" s="22">
        <f t="shared" si="2"/>
        <v>0.55</v>
      </c>
      <c r="AT17" s="16" t="s">
        <v>16</v>
      </c>
      <c r="AU17" s="154" t="s">
        <v>15</v>
      </c>
      <c r="AV17" s="16" t="s">
        <v>15</v>
      </c>
      <c r="AW17" s="16" t="s">
        <v>16</v>
      </c>
      <c r="AX17" s="16" t="s">
        <v>16</v>
      </c>
      <c r="AY17" s="16" t="s">
        <v>16</v>
      </c>
      <c r="AZ17" s="16" t="s">
        <v>16</v>
      </c>
      <c r="BA17" s="22">
        <f t="shared" si="3"/>
        <v>0.2857142857</v>
      </c>
      <c r="BB17" s="16" t="s">
        <v>15</v>
      </c>
      <c r="BC17" s="16" t="s">
        <v>16</v>
      </c>
      <c r="BD17" s="154" t="s">
        <v>15</v>
      </c>
      <c r="BE17" s="16" t="s">
        <v>15</v>
      </c>
      <c r="BF17" s="16" t="s">
        <v>15</v>
      </c>
      <c r="BG17" s="16" t="s">
        <v>15</v>
      </c>
      <c r="BH17" s="16" t="s">
        <v>16</v>
      </c>
      <c r="BI17" s="16" t="s">
        <v>15</v>
      </c>
      <c r="BJ17" s="154" t="s">
        <v>15</v>
      </c>
      <c r="BK17" s="154" t="s">
        <v>16</v>
      </c>
      <c r="BL17" s="154" t="s">
        <v>15</v>
      </c>
      <c r="BM17" s="154" t="s">
        <v>15</v>
      </c>
      <c r="BN17" s="154" t="s">
        <v>16</v>
      </c>
      <c r="BO17" s="202" t="s">
        <v>15</v>
      </c>
      <c r="BP17" s="204" t="s">
        <v>15</v>
      </c>
      <c r="BQ17" s="204" t="s">
        <v>15</v>
      </c>
      <c r="BR17" s="204" t="s">
        <v>16</v>
      </c>
      <c r="BS17" s="204" t="s">
        <v>15</v>
      </c>
      <c r="BT17" s="204" t="s">
        <v>15</v>
      </c>
      <c r="BU17" s="202" t="s">
        <v>16</v>
      </c>
      <c r="BV17" s="154" t="s">
        <v>16</v>
      </c>
      <c r="BW17" s="154" t="s">
        <v>15</v>
      </c>
      <c r="BX17" s="22">
        <f t="shared" si="4"/>
        <v>0.6818181818</v>
      </c>
    </row>
    <row r="18">
      <c r="A18" s="24">
        <v>14.0</v>
      </c>
      <c r="B18" s="211"/>
      <c r="C18" s="100" t="s">
        <v>17</v>
      </c>
      <c r="D18" s="52" t="s">
        <v>20</v>
      </c>
      <c r="E18" s="52" t="s">
        <v>20</v>
      </c>
      <c r="F18" s="52" t="s">
        <v>20</v>
      </c>
      <c r="G18" s="52" t="s">
        <v>20</v>
      </c>
      <c r="H18" s="52" t="s">
        <v>20</v>
      </c>
      <c r="I18" s="52" t="s">
        <v>20</v>
      </c>
      <c r="J18" s="52" t="s">
        <v>20</v>
      </c>
      <c r="K18" s="52" t="s">
        <v>20</v>
      </c>
      <c r="L18" s="52" t="s">
        <v>20</v>
      </c>
      <c r="M18" s="52" t="s">
        <v>20</v>
      </c>
      <c r="N18" s="52" t="s">
        <v>20</v>
      </c>
      <c r="O18" s="52" t="s">
        <v>20</v>
      </c>
      <c r="P18" s="52" t="s">
        <v>20</v>
      </c>
      <c r="Q18" s="52" t="s">
        <v>20</v>
      </c>
      <c r="R18" s="52" t="s">
        <v>20</v>
      </c>
      <c r="S18" s="52" t="s">
        <v>20</v>
      </c>
      <c r="T18" s="52" t="s">
        <v>20</v>
      </c>
      <c r="U18" s="52" t="s">
        <v>20</v>
      </c>
      <c r="V18" s="52" t="s">
        <v>20</v>
      </c>
      <c r="W18" s="52" t="s">
        <v>20</v>
      </c>
      <c r="X18" s="48" t="str">
        <f t="shared" si="1"/>
        <v>0,00%</v>
      </c>
      <c r="Y18" s="52" t="s">
        <v>20</v>
      </c>
      <c r="Z18" s="52" t="s">
        <v>20</v>
      </c>
      <c r="AA18" s="52" t="s">
        <v>20</v>
      </c>
      <c r="AB18" s="52" t="s">
        <v>20</v>
      </c>
      <c r="AC18" s="52" t="s">
        <v>20</v>
      </c>
      <c r="AD18" s="52" t="s">
        <v>20</v>
      </c>
      <c r="AE18" s="52" t="s">
        <v>20</v>
      </c>
      <c r="AF18" s="52" t="s">
        <v>20</v>
      </c>
      <c r="AG18" s="52" t="s">
        <v>20</v>
      </c>
      <c r="AH18" s="52" t="s">
        <v>20</v>
      </c>
      <c r="AI18" s="52" t="s">
        <v>20</v>
      </c>
      <c r="AJ18" s="52" t="s">
        <v>20</v>
      </c>
      <c r="AK18" s="52" t="s">
        <v>20</v>
      </c>
      <c r="AL18" s="52" t="s">
        <v>20</v>
      </c>
      <c r="AM18" s="52" t="s">
        <v>20</v>
      </c>
      <c r="AN18" s="52" t="s">
        <v>20</v>
      </c>
      <c r="AO18" s="52" t="s">
        <v>20</v>
      </c>
      <c r="AP18" s="52" t="s">
        <v>20</v>
      </c>
      <c r="AQ18" s="52" t="s">
        <v>20</v>
      </c>
      <c r="AR18" s="52" t="s">
        <v>20</v>
      </c>
      <c r="AS18" s="48" t="str">
        <f t="shared" si="2"/>
        <v>0,00%</v>
      </c>
      <c r="AT18" s="52" t="s">
        <v>20</v>
      </c>
      <c r="AU18" s="52" t="s">
        <v>20</v>
      </c>
      <c r="AV18" s="52" t="s">
        <v>20</v>
      </c>
      <c r="AW18" s="52" t="s">
        <v>20</v>
      </c>
      <c r="AX18" s="52" t="s">
        <v>20</v>
      </c>
      <c r="AY18" s="52" t="s">
        <v>20</v>
      </c>
      <c r="AZ18" s="52" t="s">
        <v>20</v>
      </c>
      <c r="BA18" s="48" t="str">
        <f t="shared" si="3"/>
        <v>0,00%</v>
      </c>
      <c r="BB18" s="52" t="s">
        <v>20</v>
      </c>
      <c r="BC18" s="52" t="s">
        <v>20</v>
      </c>
      <c r="BD18" s="52" t="s">
        <v>20</v>
      </c>
      <c r="BE18" s="52" t="s">
        <v>20</v>
      </c>
      <c r="BF18" s="52" t="s">
        <v>20</v>
      </c>
      <c r="BG18" s="52" t="s">
        <v>20</v>
      </c>
      <c r="BH18" s="52" t="s">
        <v>20</v>
      </c>
      <c r="BI18" s="52" t="s">
        <v>20</v>
      </c>
      <c r="BJ18" s="52" t="s">
        <v>20</v>
      </c>
      <c r="BK18" s="52" t="s">
        <v>20</v>
      </c>
      <c r="BL18" s="52" t="s">
        <v>20</v>
      </c>
      <c r="BM18" s="52" t="s">
        <v>20</v>
      </c>
      <c r="BN18" s="52" t="s">
        <v>20</v>
      </c>
      <c r="BO18" s="52" t="s">
        <v>20</v>
      </c>
      <c r="BP18" s="52" t="s">
        <v>20</v>
      </c>
      <c r="BQ18" s="52" t="s">
        <v>20</v>
      </c>
      <c r="BR18" s="52" t="s">
        <v>20</v>
      </c>
      <c r="BS18" s="52" t="s">
        <v>20</v>
      </c>
      <c r="BT18" s="159" t="s">
        <v>20</v>
      </c>
      <c r="BU18" s="52" t="s">
        <v>20</v>
      </c>
      <c r="BV18" s="52" t="s">
        <v>20</v>
      </c>
      <c r="BW18" s="52" t="s">
        <v>20</v>
      </c>
      <c r="BX18" s="48" t="str">
        <f t="shared" si="4"/>
        <v>0,00%</v>
      </c>
    </row>
    <row r="19">
      <c r="A19" s="24">
        <v>15.0</v>
      </c>
      <c r="B19" s="62"/>
      <c r="C19" s="58"/>
      <c r="D19" s="16" t="s">
        <v>15</v>
      </c>
      <c r="E19" s="16" t="s">
        <v>15</v>
      </c>
      <c r="F19" s="16" t="s">
        <v>15</v>
      </c>
      <c r="G19" s="16" t="s">
        <v>15</v>
      </c>
      <c r="H19" s="16" t="s">
        <v>15</v>
      </c>
      <c r="I19" s="16" t="s">
        <v>15</v>
      </c>
      <c r="J19" s="16" t="s">
        <v>15</v>
      </c>
      <c r="K19" s="16" t="s">
        <v>15</v>
      </c>
      <c r="L19" s="16" t="s">
        <v>15</v>
      </c>
      <c r="M19" s="16" t="s">
        <v>15</v>
      </c>
      <c r="N19" s="16" t="s">
        <v>15</v>
      </c>
      <c r="O19" s="16" t="s">
        <v>16</v>
      </c>
      <c r="P19" s="16" t="s">
        <v>15</v>
      </c>
      <c r="Q19" s="16" t="s">
        <v>15</v>
      </c>
      <c r="R19" s="16" t="s">
        <v>15</v>
      </c>
      <c r="S19" s="16" t="s">
        <v>15</v>
      </c>
      <c r="T19" s="16" t="s">
        <v>15</v>
      </c>
      <c r="U19" s="16" t="s">
        <v>15</v>
      </c>
      <c r="V19" s="16" t="s">
        <v>16</v>
      </c>
      <c r="W19" s="16" t="s">
        <v>16</v>
      </c>
      <c r="X19" s="22">
        <f t="shared" si="1"/>
        <v>0.85</v>
      </c>
      <c r="Y19" s="16" t="s">
        <v>15</v>
      </c>
      <c r="Z19" s="16" t="s">
        <v>15</v>
      </c>
      <c r="AA19" s="16" t="s">
        <v>15</v>
      </c>
      <c r="AB19" s="16" t="s">
        <v>15</v>
      </c>
      <c r="AC19" s="16" t="s">
        <v>15</v>
      </c>
      <c r="AD19" s="16" t="s">
        <v>16</v>
      </c>
      <c r="AE19" s="154" t="s">
        <v>15</v>
      </c>
      <c r="AF19" s="154" t="s">
        <v>15</v>
      </c>
      <c r="AG19" s="154" t="s">
        <v>16</v>
      </c>
      <c r="AH19" s="16" t="s">
        <v>15</v>
      </c>
      <c r="AI19" s="16" t="s">
        <v>15</v>
      </c>
      <c r="AJ19" s="154" t="s">
        <v>15</v>
      </c>
      <c r="AK19" s="154" t="s">
        <v>15</v>
      </c>
      <c r="AL19" s="154" t="s">
        <v>15</v>
      </c>
      <c r="AM19" s="154" t="s">
        <v>15</v>
      </c>
      <c r="AN19" s="154" t="s">
        <v>15</v>
      </c>
      <c r="AO19" s="154" t="s">
        <v>15</v>
      </c>
      <c r="AP19" s="16" t="s">
        <v>16</v>
      </c>
      <c r="AQ19" s="16" t="s">
        <v>16</v>
      </c>
      <c r="AR19" s="154" t="s">
        <v>15</v>
      </c>
      <c r="AS19" s="22">
        <f t="shared" si="2"/>
        <v>0.8</v>
      </c>
      <c r="AT19" s="16" t="s">
        <v>15</v>
      </c>
      <c r="AU19" s="154" t="s">
        <v>15</v>
      </c>
      <c r="AV19" s="16" t="s">
        <v>15</v>
      </c>
      <c r="AW19" s="16" t="s">
        <v>16</v>
      </c>
      <c r="AX19" s="16" t="s">
        <v>15</v>
      </c>
      <c r="AY19" s="16" t="s">
        <v>15</v>
      </c>
      <c r="AZ19" s="16" t="s">
        <v>16</v>
      </c>
      <c r="BA19" s="22">
        <f t="shared" si="3"/>
        <v>0.7142857143</v>
      </c>
      <c r="BB19" s="16" t="s">
        <v>15</v>
      </c>
      <c r="BC19" s="16" t="s">
        <v>15</v>
      </c>
      <c r="BD19" s="154" t="s">
        <v>16</v>
      </c>
      <c r="BE19" s="16" t="s">
        <v>15</v>
      </c>
      <c r="BF19" s="16" t="s">
        <v>15</v>
      </c>
      <c r="BG19" s="16" t="s">
        <v>16</v>
      </c>
      <c r="BH19" s="16" t="s">
        <v>15</v>
      </c>
      <c r="BI19" s="16" t="s">
        <v>15</v>
      </c>
      <c r="BJ19" s="154" t="s">
        <v>15</v>
      </c>
      <c r="BK19" s="154" t="s">
        <v>15</v>
      </c>
      <c r="BL19" s="154" t="s">
        <v>15</v>
      </c>
      <c r="BM19" s="154" t="s">
        <v>15</v>
      </c>
      <c r="BN19" s="204" t="s">
        <v>15</v>
      </c>
      <c r="BO19" s="202" t="s">
        <v>15</v>
      </c>
      <c r="BP19" s="204" t="s">
        <v>15</v>
      </c>
      <c r="BQ19" s="204" t="s">
        <v>15</v>
      </c>
      <c r="BR19" s="204" t="s">
        <v>16</v>
      </c>
      <c r="BS19" s="204" t="s">
        <v>15</v>
      </c>
      <c r="BT19" s="204" t="s">
        <v>15</v>
      </c>
      <c r="BU19" s="202" t="s">
        <v>15</v>
      </c>
      <c r="BV19" s="204" t="s">
        <v>15</v>
      </c>
      <c r="BW19" s="154" t="s">
        <v>15</v>
      </c>
      <c r="BX19" s="22">
        <f t="shared" si="4"/>
        <v>0.8636363636</v>
      </c>
    </row>
    <row r="20">
      <c r="A20" s="24">
        <v>16.0</v>
      </c>
      <c r="B20" s="62"/>
      <c r="C20" s="58"/>
      <c r="D20" s="16" t="s">
        <v>15</v>
      </c>
      <c r="E20" s="16" t="s">
        <v>15</v>
      </c>
      <c r="F20" s="16" t="s">
        <v>16</v>
      </c>
      <c r="G20" s="16" t="s">
        <v>16</v>
      </c>
      <c r="H20" s="16" t="s">
        <v>16</v>
      </c>
      <c r="I20" s="16" t="s">
        <v>15</v>
      </c>
      <c r="J20" s="16" t="s">
        <v>15</v>
      </c>
      <c r="K20" s="16" t="s">
        <v>15</v>
      </c>
      <c r="L20" s="16" t="s">
        <v>15</v>
      </c>
      <c r="M20" s="16" t="s">
        <v>15</v>
      </c>
      <c r="N20" s="16" t="s">
        <v>15</v>
      </c>
      <c r="O20" s="16" t="s">
        <v>15</v>
      </c>
      <c r="P20" s="16" t="s">
        <v>15</v>
      </c>
      <c r="Q20" s="16" t="s">
        <v>15</v>
      </c>
      <c r="R20" s="16" t="s">
        <v>15</v>
      </c>
      <c r="S20" s="16" t="s">
        <v>15</v>
      </c>
      <c r="T20" s="16" t="s">
        <v>15</v>
      </c>
      <c r="U20" s="16" t="s">
        <v>15</v>
      </c>
      <c r="V20" s="16" t="s">
        <v>15</v>
      </c>
      <c r="W20" s="16" t="s">
        <v>15</v>
      </c>
      <c r="X20" s="22">
        <f t="shared" si="1"/>
        <v>0.85</v>
      </c>
      <c r="Y20" s="16" t="s">
        <v>15</v>
      </c>
      <c r="Z20" s="16" t="s">
        <v>15</v>
      </c>
      <c r="AA20" s="16" t="s">
        <v>15</v>
      </c>
      <c r="AB20" s="16" t="s">
        <v>15</v>
      </c>
      <c r="AC20" s="16" t="s">
        <v>15</v>
      </c>
      <c r="AD20" s="16" t="s">
        <v>15</v>
      </c>
      <c r="AE20" s="202" t="s">
        <v>15</v>
      </c>
      <c r="AF20" s="154" t="s">
        <v>15</v>
      </c>
      <c r="AG20" s="154" t="s">
        <v>15</v>
      </c>
      <c r="AH20" s="16" t="s">
        <v>15</v>
      </c>
      <c r="AI20" s="16" t="s">
        <v>15</v>
      </c>
      <c r="AJ20" s="154" t="s">
        <v>15</v>
      </c>
      <c r="AK20" s="154" t="s">
        <v>15</v>
      </c>
      <c r="AL20" s="154" t="s">
        <v>15</v>
      </c>
      <c r="AM20" s="154" t="s">
        <v>15</v>
      </c>
      <c r="AN20" s="154" t="s">
        <v>15</v>
      </c>
      <c r="AO20" s="154" t="s">
        <v>15</v>
      </c>
      <c r="AP20" s="16" t="s">
        <v>16</v>
      </c>
      <c r="AQ20" s="16" t="s">
        <v>15</v>
      </c>
      <c r="AR20" s="154" t="s">
        <v>16</v>
      </c>
      <c r="AS20" s="22">
        <f t="shared" si="2"/>
        <v>0.9</v>
      </c>
      <c r="AT20" s="16" t="s">
        <v>15</v>
      </c>
      <c r="AU20" s="154" t="s">
        <v>15</v>
      </c>
      <c r="AV20" s="16" t="s">
        <v>15</v>
      </c>
      <c r="AW20" s="16" t="s">
        <v>16</v>
      </c>
      <c r="AX20" s="16" t="s">
        <v>16</v>
      </c>
      <c r="AY20" s="16" t="s">
        <v>16</v>
      </c>
      <c r="AZ20" s="16" t="s">
        <v>16</v>
      </c>
      <c r="BA20" s="22">
        <f t="shared" si="3"/>
        <v>0.4285714286</v>
      </c>
      <c r="BB20" s="16" t="s">
        <v>15</v>
      </c>
      <c r="BC20" s="16" t="s">
        <v>15</v>
      </c>
      <c r="BD20" s="154" t="s">
        <v>15</v>
      </c>
      <c r="BE20" s="16" t="s">
        <v>15</v>
      </c>
      <c r="BF20" s="16" t="s">
        <v>15</v>
      </c>
      <c r="BG20" s="16" t="s">
        <v>15</v>
      </c>
      <c r="BH20" s="16" t="s">
        <v>15</v>
      </c>
      <c r="BI20" s="16" t="s">
        <v>15</v>
      </c>
      <c r="BJ20" s="154" t="s">
        <v>15</v>
      </c>
      <c r="BK20" s="154" t="s">
        <v>15</v>
      </c>
      <c r="BL20" s="154" t="s">
        <v>15</v>
      </c>
      <c r="BM20" s="154" t="s">
        <v>15</v>
      </c>
      <c r="BN20" s="204" t="s">
        <v>15</v>
      </c>
      <c r="BO20" s="154" t="s">
        <v>16</v>
      </c>
      <c r="BP20" s="154" t="s">
        <v>15</v>
      </c>
      <c r="BQ20" s="154" t="s">
        <v>15</v>
      </c>
      <c r="BR20" s="154" t="s">
        <v>15</v>
      </c>
      <c r="BS20" s="154" t="s">
        <v>15</v>
      </c>
      <c r="BT20" s="202" t="s">
        <v>15</v>
      </c>
      <c r="BU20" s="202" t="s">
        <v>15</v>
      </c>
      <c r="BV20" s="154" t="s">
        <v>15</v>
      </c>
      <c r="BW20" s="202" t="s">
        <v>16</v>
      </c>
      <c r="BX20" s="22">
        <f t="shared" si="4"/>
        <v>0.9090909091</v>
      </c>
    </row>
    <row r="21">
      <c r="A21" s="24">
        <v>17.0</v>
      </c>
      <c r="B21" s="57"/>
      <c r="C21" s="58"/>
      <c r="D21" s="16" t="s">
        <v>15</v>
      </c>
      <c r="E21" s="16" t="s">
        <v>15</v>
      </c>
      <c r="F21" s="16" t="s">
        <v>15</v>
      </c>
      <c r="G21" s="16" t="s">
        <v>15</v>
      </c>
      <c r="H21" s="16" t="s">
        <v>15</v>
      </c>
      <c r="I21" s="16" t="s">
        <v>15</v>
      </c>
      <c r="J21" s="16" t="s">
        <v>15</v>
      </c>
      <c r="K21" s="16" t="s">
        <v>15</v>
      </c>
      <c r="L21" s="16" t="s">
        <v>15</v>
      </c>
      <c r="M21" s="16" t="s">
        <v>15</v>
      </c>
      <c r="N21" s="16" t="s">
        <v>15</v>
      </c>
      <c r="O21" s="16" t="s">
        <v>15</v>
      </c>
      <c r="P21" s="16" t="s">
        <v>15</v>
      </c>
      <c r="Q21" s="16" t="s">
        <v>15</v>
      </c>
      <c r="R21" s="16" t="s">
        <v>16</v>
      </c>
      <c r="S21" s="16" t="s">
        <v>16</v>
      </c>
      <c r="T21" s="16" t="s">
        <v>15</v>
      </c>
      <c r="U21" s="16" t="s">
        <v>15</v>
      </c>
      <c r="V21" s="16" t="s">
        <v>15</v>
      </c>
      <c r="W21" s="16" t="s">
        <v>16</v>
      </c>
      <c r="X21" s="22">
        <f t="shared" si="1"/>
        <v>0.85</v>
      </c>
      <c r="Y21" s="16" t="s">
        <v>15</v>
      </c>
      <c r="Z21" s="16" t="s">
        <v>15</v>
      </c>
      <c r="AA21" s="16" t="s">
        <v>15</v>
      </c>
      <c r="AB21" s="16" t="s">
        <v>15</v>
      </c>
      <c r="AC21" s="16" t="s">
        <v>15</v>
      </c>
      <c r="AD21" s="16" t="s">
        <v>16</v>
      </c>
      <c r="AE21" s="154" t="s">
        <v>15</v>
      </c>
      <c r="AF21" s="154" t="s">
        <v>15</v>
      </c>
      <c r="AG21" s="154" t="s">
        <v>16</v>
      </c>
      <c r="AH21" s="16" t="s">
        <v>15</v>
      </c>
      <c r="AI21" s="16" t="s">
        <v>15</v>
      </c>
      <c r="AJ21" s="154" t="s">
        <v>15</v>
      </c>
      <c r="AK21" s="154" t="s">
        <v>15</v>
      </c>
      <c r="AL21" s="154" t="s">
        <v>15</v>
      </c>
      <c r="AM21" s="154" t="s">
        <v>15</v>
      </c>
      <c r="AN21" s="154" t="s">
        <v>16</v>
      </c>
      <c r="AO21" s="154" t="s">
        <v>15</v>
      </c>
      <c r="AP21" s="16" t="s">
        <v>16</v>
      </c>
      <c r="AQ21" s="16" t="s">
        <v>16</v>
      </c>
      <c r="AR21" s="154" t="s">
        <v>15</v>
      </c>
      <c r="AS21" s="22">
        <f t="shared" si="2"/>
        <v>0.75</v>
      </c>
      <c r="AT21" s="16" t="s">
        <v>15</v>
      </c>
      <c r="AU21" s="154" t="s">
        <v>15</v>
      </c>
      <c r="AV21" s="16" t="s">
        <v>15</v>
      </c>
      <c r="AW21" s="16" t="s">
        <v>16</v>
      </c>
      <c r="AX21" s="16" t="s">
        <v>16</v>
      </c>
      <c r="AY21" s="16" t="s">
        <v>15</v>
      </c>
      <c r="AZ21" s="16" t="s">
        <v>15</v>
      </c>
      <c r="BA21" s="22">
        <f t="shared" si="3"/>
        <v>0.7142857143</v>
      </c>
      <c r="BB21" s="16" t="s">
        <v>15</v>
      </c>
      <c r="BC21" s="16" t="s">
        <v>16</v>
      </c>
      <c r="BD21" s="154" t="s">
        <v>15</v>
      </c>
      <c r="BE21" s="16" t="s">
        <v>15</v>
      </c>
      <c r="BF21" s="16" t="s">
        <v>15</v>
      </c>
      <c r="BG21" s="16" t="s">
        <v>16</v>
      </c>
      <c r="BH21" s="16" t="s">
        <v>16</v>
      </c>
      <c r="BI21" s="16" t="s">
        <v>15</v>
      </c>
      <c r="BJ21" s="154" t="s">
        <v>15</v>
      </c>
      <c r="BK21" s="154" t="s">
        <v>15</v>
      </c>
      <c r="BL21" s="154" t="s">
        <v>15</v>
      </c>
      <c r="BM21" s="154" t="s">
        <v>15</v>
      </c>
      <c r="BN21" s="202" t="s">
        <v>15</v>
      </c>
      <c r="BO21" s="202" t="s">
        <v>15</v>
      </c>
      <c r="BP21" s="154" t="s">
        <v>16</v>
      </c>
      <c r="BQ21" s="154" t="s">
        <v>15</v>
      </c>
      <c r="BR21" s="154" t="s">
        <v>16</v>
      </c>
      <c r="BS21" s="154" t="s">
        <v>15</v>
      </c>
      <c r="BT21" s="202" t="s">
        <v>15</v>
      </c>
      <c r="BU21" s="202" t="s">
        <v>16</v>
      </c>
      <c r="BV21" s="154" t="s">
        <v>15</v>
      </c>
      <c r="BW21" s="202" t="s">
        <v>16</v>
      </c>
      <c r="BX21" s="22">
        <f t="shared" si="4"/>
        <v>0.6818181818</v>
      </c>
    </row>
    <row r="22">
      <c r="A22" s="24">
        <v>18.0</v>
      </c>
      <c r="B22" s="57"/>
      <c r="C22" s="58"/>
      <c r="D22" s="16" t="s">
        <v>15</v>
      </c>
      <c r="E22" s="16" t="s">
        <v>15</v>
      </c>
      <c r="F22" s="16" t="s">
        <v>15</v>
      </c>
      <c r="G22" s="16" t="s">
        <v>16</v>
      </c>
      <c r="H22" s="16" t="s">
        <v>15</v>
      </c>
      <c r="I22" s="16" t="s">
        <v>15</v>
      </c>
      <c r="J22" s="16" t="s">
        <v>15</v>
      </c>
      <c r="K22" s="16" t="s">
        <v>15</v>
      </c>
      <c r="L22" s="16" t="s">
        <v>15</v>
      </c>
      <c r="M22" s="16" t="s">
        <v>15</v>
      </c>
      <c r="N22" s="16" t="s">
        <v>15</v>
      </c>
      <c r="O22" s="16" t="s">
        <v>15</v>
      </c>
      <c r="P22" s="16" t="s">
        <v>15</v>
      </c>
      <c r="Q22" s="16" t="s">
        <v>15</v>
      </c>
      <c r="R22" s="16" t="s">
        <v>15</v>
      </c>
      <c r="S22" s="16" t="s">
        <v>15</v>
      </c>
      <c r="T22" s="16" t="s">
        <v>15</v>
      </c>
      <c r="U22" s="16" t="s">
        <v>15</v>
      </c>
      <c r="V22" s="16" t="s">
        <v>15</v>
      </c>
      <c r="W22" s="16" t="s">
        <v>15</v>
      </c>
      <c r="X22" s="22">
        <f t="shared" si="1"/>
        <v>0.95</v>
      </c>
      <c r="Y22" s="16" t="s">
        <v>15</v>
      </c>
      <c r="Z22" s="16" t="s">
        <v>15</v>
      </c>
      <c r="AA22" s="16" t="s">
        <v>15</v>
      </c>
      <c r="AB22" s="16" t="s">
        <v>15</v>
      </c>
      <c r="AC22" s="16" t="s">
        <v>15</v>
      </c>
      <c r="AD22" s="16" t="s">
        <v>15</v>
      </c>
      <c r="AE22" s="202" t="s">
        <v>15</v>
      </c>
      <c r="AF22" s="154" t="s">
        <v>15</v>
      </c>
      <c r="AG22" s="154" t="s">
        <v>15</v>
      </c>
      <c r="AH22" s="16" t="s">
        <v>15</v>
      </c>
      <c r="AI22" s="16" t="s">
        <v>15</v>
      </c>
      <c r="AJ22" s="154" t="s">
        <v>15</v>
      </c>
      <c r="AK22" s="154" t="s">
        <v>15</v>
      </c>
      <c r="AL22" s="154" t="s">
        <v>15</v>
      </c>
      <c r="AM22" s="154" t="s">
        <v>15</v>
      </c>
      <c r="AN22" s="154" t="s">
        <v>15</v>
      </c>
      <c r="AO22" s="154" t="s">
        <v>16</v>
      </c>
      <c r="AP22" s="16" t="s">
        <v>16</v>
      </c>
      <c r="AQ22" s="16" t="s">
        <v>15</v>
      </c>
      <c r="AR22" s="154" t="s">
        <v>16</v>
      </c>
      <c r="AS22" s="22">
        <f t="shared" si="2"/>
        <v>0.85</v>
      </c>
      <c r="AT22" s="16" t="s">
        <v>16</v>
      </c>
      <c r="AU22" s="154" t="s">
        <v>15</v>
      </c>
      <c r="AV22" s="16" t="s">
        <v>15</v>
      </c>
      <c r="AW22" s="16" t="s">
        <v>16</v>
      </c>
      <c r="AX22" s="16" t="s">
        <v>15</v>
      </c>
      <c r="AY22" s="16" t="s">
        <v>15</v>
      </c>
      <c r="AZ22" s="16" t="s">
        <v>15</v>
      </c>
      <c r="BA22" s="22">
        <f t="shared" si="3"/>
        <v>0.7142857143</v>
      </c>
      <c r="BB22" s="16" t="s">
        <v>15</v>
      </c>
      <c r="BC22" s="16" t="s">
        <v>15</v>
      </c>
      <c r="BD22" s="154" t="s">
        <v>15</v>
      </c>
      <c r="BE22" s="16" t="s">
        <v>15</v>
      </c>
      <c r="BF22" s="16" t="s">
        <v>15</v>
      </c>
      <c r="BG22" s="16" t="s">
        <v>16</v>
      </c>
      <c r="BH22" s="16" t="s">
        <v>15</v>
      </c>
      <c r="BI22" s="16" t="s">
        <v>15</v>
      </c>
      <c r="BJ22" s="154" t="s">
        <v>15</v>
      </c>
      <c r="BK22" s="154" t="s">
        <v>15</v>
      </c>
      <c r="BL22" s="154" t="s">
        <v>16</v>
      </c>
      <c r="BM22" s="154" t="s">
        <v>16</v>
      </c>
      <c r="BN22" s="154" t="s">
        <v>15</v>
      </c>
      <c r="BO22" s="202" t="s">
        <v>15</v>
      </c>
      <c r="BP22" s="154" t="s">
        <v>16</v>
      </c>
      <c r="BQ22" s="154" t="s">
        <v>15</v>
      </c>
      <c r="BR22" s="154" t="s">
        <v>16</v>
      </c>
      <c r="BS22" s="154" t="s">
        <v>15</v>
      </c>
      <c r="BT22" s="202" t="s">
        <v>15</v>
      </c>
      <c r="BU22" s="202" t="s">
        <v>15</v>
      </c>
      <c r="BV22" s="154" t="s">
        <v>15</v>
      </c>
      <c r="BW22" s="154" t="s">
        <v>15</v>
      </c>
      <c r="BX22" s="22">
        <f t="shared" si="4"/>
        <v>0.7727272727</v>
      </c>
    </row>
    <row r="23">
      <c r="A23" s="24">
        <v>19.0</v>
      </c>
      <c r="B23" s="46"/>
      <c r="C23" s="58"/>
      <c r="D23" s="16" t="s">
        <v>15</v>
      </c>
      <c r="E23" s="16" t="s">
        <v>15</v>
      </c>
      <c r="F23" s="16" t="s">
        <v>15</v>
      </c>
      <c r="G23" s="16" t="s">
        <v>15</v>
      </c>
      <c r="H23" s="16" t="s">
        <v>15</v>
      </c>
      <c r="I23" s="16" t="s">
        <v>16</v>
      </c>
      <c r="J23" s="16" t="s">
        <v>15</v>
      </c>
      <c r="K23" s="16" t="s">
        <v>16</v>
      </c>
      <c r="L23" s="16" t="s">
        <v>15</v>
      </c>
      <c r="M23" s="16" t="s">
        <v>15</v>
      </c>
      <c r="N23" s="16" t="s">
        <v>16</v>
      </c>
      <c r="O23" s="16" t="s">
        <v>15</v>
      </c>
      <c r="P23" s="16" t="s">
        <v>15</v>
      </c>
      <c r="Q23" s="16" t="s">
        <v>15</v>
      </c>
      <c r="R23" s="16" t="s">
        <v>15</v>
      </c>
      <c r="S23" s="16" t="s">
        <v>15</v>
      </c>
      <c r="T23" s="16" t="s">
        <v>16</v>
      </c>
      <c r="U23" s="16" t="s">
        <v>15</v>
      </c>
      <c r="V23" s="16" t="s">
        <v>15</v>
      </c>
      <c r="W23" s="16" t="s">
        <v>16</v>
      </c>
      <c r="X23" s="22">
        <f t="shared" si="1"/>
        <v>0.75</v>
      </c>
      <c r="Y23" s="16" t="s">
        <v>15</v>
      </c>
      <c r="Z23" s="16" t="s">
        <v>15</v>
      </c>
      <c r="AA23" s="16" t="s">
        <v>16</v>
      </c>
      <c r="AB23" s="16" t="s">
        <v>16</v>
      </c>
      <c r="AC23" s="16" t="s">
        <v>15</v>
      </c>
      <c r="AD23" s="16" t="s">
        <v>15</v>
      </c>
      <c r="AE23" s="154" t="s">
        <v>16</v>
      </c>
      <c r="AF23" s="154" t="s">
        <v>16</v>
      </c>
      <c r="AG23" s="154" t="s">
        <v>16</v>
      </c>
      <c r="AH23" s="16" t="s">
        <v>15</v>
      </c>
      <c r="AI23" s="16" t="s">
        <v>15</v>
      </c>
      <c r="AJ23" s="154" t="s">
        <v>16</v>
      </c>
      <c r="AK23" s="154" t="s">
        <v>15</v>
      </c>
      <c r="AL23" s="154" t="s">
        <v>16</v>
      </c>
      <c r="AM23" s="154" t="s">
        <v>16</v>
      </c>
      <c r="AN23" s="154" t="s">
        <v>16</v>
      </c>
      <c r="AO23" s="154" t="s">
        <v>15</v>
      </c>
      <c r="AP23" s="16" t="s">
        <v>16</v>
      </c>
      <c r="AQ23" s="16" t="s">
        <v>15</v>
      </c>
      <c r="AR23" s="154" t="s">
        <v>15</v>
      </c>
      <c r="AS23" s="22">
        <f t="shared" si="2"/>
        <v>0.5</v>
      </c>
      <c r="AT23" s="16" t="s">
        <v>15</v>
      </c>
      <c r="AU23" s="154" t="s">
        <v>15</v>
      </c>
      <c r="AV23" s="16" t="s">
        <v>15</v>
      </c>
      <c r="AW23" s="16" t="s">
        <v>15</v>
      </c>
      <c r="AX23" s="16" t="s">
        <v>16</v>
      </c>
      <c r="AY23" s="16" t="s">
        <v>16</v>
      </c>
      <c r="AZ23" s="16" t="s">
        <v>16</v>
      </c>
      <c r="BA23" s="22">
        <f t="shared" si="3"/>
        <v>0.5714285714</v>
      </c>
      <c r="BB23" s="16" t="s">
        <v>15</v>
      </c>
      <c r="BC23" s="16" t="s">
        <v>16</v>
      </c>
      <c r="BD23" s="154" t="s">
        <v>16</v>
      </c>
      <c r="BE23" s="16" t="s">
        <v>15</v>
      </c>
      <c r="BF23" s="16" t="s">
        <v>15</v>
      </c>
      <c r="BG23" s="16" t="s">
        <v>15</v>
      </c>
      <c r="BH23" s="16" t="s">
        <v>16</v>
      </c>
      <c r="BI23" s="16" t="s">
        <v>16</v>
      </c>
      <c r="BJ23" s="154" t="s">
        <v>15</v>
      </c>
      <c r="BK23" s="154" t="s">
        <v>15</v>
      </c>
      <c r="BL23" s="154" t="s">
        <v>16</v>
      </c>
      <c r="BM23" s="154" t="s">
        <v>15</v>
      </c>
      <c r="BN23" s="154" t="s">
        <v>16</v>
      </c>
      <c r="BO23" s="202" t="s">
        <v>15</v>
      </c>
      <c r="BP23" s="204" t="s">
        <v>15</v>
      </c>
      <c r="BQ23" s="204" t="s">
        <v>15</v>
      </c>
      <c r="BR23" s="204" t="s">
        <v>15</v>
      </c>
      <c r="BS23" s="154" t="s">
        <v>15</v>
      </c>
      <c r="BT23" s="204" t="s">
        <v>16</v>
      </c>
      <c r="BU23" s="202" t="s">
        <v>16</v>
      </c>
      <c r="BV23" s="154" t="s">
        <v>15</v>
      </c>
      <c r="BW23" s="202" t="s">
        <v>16</v>
      </c>
      <c r="BX23" s="22">
        <f t="shared" si="4"/>
        <v>0.5909090909</v>
      </c>
    </row>
    <row r="24">
      <c r="A24" s="24">
        <v>20.0</v>
      </c>
      <c r="B24" s="57"/>
      <c r="C24" s="26"/>
      <c r="D24" s="16" t="s">
        <v>15</v>
      </c>
      <c r="E24" s="16" t="s">
        <v>15</v>
      </c>
      <c r="F24" s="16" t="s">
        <v>15</v>
      </c>
      <c r="G24" s="16" t="s">
        <v>15</v>
      </c>
      <c r="H24" s="16" t="s">
        <v>15</v>
      </c>
      <c r="I24" s="16" t="s">
        <v>15</v>
      </c>
      <c r="J24" s="16" t="s">
        <v>15</v>
      </c>
      <c r="K24" s="16" t="s">
        <v>15</v>
      </c>
      <c r="L24" s="16" t="s">
        <v>15</v>
      </c>
      <c r="M24" s="16" t="s">
        <v>15</v>
      </c>
      <c r="N24" s="16" t="s">
        <v>15</v>
      </c>
      <c r="O24" s="16" t="s">
        <v>15</v>
      </c>
      <c r="P24" s="16" t="s">
        <v>15</v>
      </c>
      <c r="Q24" s="16" t="s">
        <v>15</v>
      </c>
      <c r="R24" s="16" t="s">
        <v>15</v>
      </c>
      <c r="S24" s="16" t="s">
        <v>15</v>
      </c>
      <c r="T24" s="16" t="s">
        <v>15</v>
      </c>
      <c r="U24" s="16" t="s">
        <v>15</v>
      </c>
      <c r="V24" s="16" t="s">
        <v>15</v>
      </c>
      <c r="W24" s="16" t="s">
        <v>15</v>
      </c>
      <c r="X24" s="22">
        <f t="shared" si="1"/>
        <v>1</v>
      </c>
      <c r="Y24" s="16" t="s">
        <v>15</v>
      </c>
      <c r="Z24" s="16" t="s">
        <v>15</v>
      </c>
      <c r="AA24" s="16" t="s">
        <v>15</v>
      </c>
      <c r="AB24" s="16" t="s">
        <v>15</v>
      </c>
      <c r="AC24" s="16" t="s">
        <v>15</v>
      </c>
      <c r="AD24" s="16" t="s">
        <v>15</v>
      </c>
      <c r="AE24" s="203" t="s">
        <v>15</v>
      </c>
      <c r="AF24" s="16" t="s">
        <v>15</v>
      </c>
      <c r="AG24" s="16" t="s">
        <v>15</v>
      </c>
      <c r="AH24" s="16" t="s">
        <v>15</v>
      </c>
      <c r="AI24" s="16" t="s">
        <v>15</v>
      </c>
      <c r="AJ24" s="16" t="s">
        <v>15</v>
      </c>
      <c r="AK24" s="16" t="s">
        <v>15</v>
      </c>
      <c r="AL24" s="16" t="s">
        <v>15</v>
      </c>
      <c r="AM24" s="16" t="s">
        <v>15</v>
      </c>
      <c r="AN24" s="16" t="s">
        <v>16</v>
      </c>
      <c r="AO24" s="16" t="s">
        <v>15</v>
      </c>
      <c r="AP24" s="16" t="s">
        <v>15</v>
      </c>
      <c r="AQ24" s="16" t="s">
        <v>15</v>
      </c>
      <c r="AR24" s="16" t="s">
        <v>15</v>
      </c>
      <c r="AS24" s="22">
        <f t="shared" si="2"/>
        <v>0.95</v>
      </c>
      <c r="AT24" s="16" t="s">
        <v>15</v>
      </c>
      <c r="AU24" s="16" t="s">
        <v>15</v>
      </c>
      <c r="AV24" s="16" t="s">
        <v>15</v>
      </c>
      <c r="AW24" s="16" t="s">
        <v>15</v>
      </c>
      <c r="AX24" s="16" t="s">
        <v>15</v>
      </c>
      <c r="AY24" s="16" t="s">
        <v>15</v>
      </c>
      <c r="AZ24" s="16" t="s">
        <v>15</v>
      </c>
      <c r="BA24" s="22">
        <f t="shared" si="3"/>
        <v>1</v>
      </c>
      <c r="BB24" s="16" t="s">
        <v>15</v>
      </c>
      <c r="BC24" s="16" t="s">
        <v>15</v>
      </c>
      <c r="BD24" s="16" t="s">
        <v>15</v>
      </c>
      <c r="BE24" s="16" t="s">
        <v>15</v>
      </c>
      <c r="BF24" s="16" t="s">
        <v>15</v>
      </c>
      <c r="BG24" s="16" t="s">
        <v>15</v>
      </c>
      <c r="BH24" s="16" t="s">
        <v>15</v>
      </c>
      <c r="BI24" s="16" t="s">
        <v>15</v>
      </c>
      <c r="BJ24" s="16" t="s">
        <v>15</v>
      </c>
      <c r="BK24" s="16" t="s">
        <v>15</v>
      </c>
      <c r="BL24" s="16" t="s">
        <v>16</v>
      </c>
      <c r="BM24" s="16" t="s">
        <v>15</v>
      </c>
      <c r="BN24" s="21" t="s">
        <v>15</v>
      </c>
      <c r="BO24" s="202" t="s">
        <v>15</v>
      </c>
      <c r="BP24" s="21" t="s">
        <v>15</v>
      </c>
      <c r="BQ24" s="21" t="s">
        <v>15</v>
      </c>
      <c r="BR24" s="21" t="s">
        <v>15</v>
      </c>
      <c r="BS24" s="21" t="s">
        <v>15</v>
      </c>
      <c r="BT24" s="21" t="s">
        <v>15</v>
      </c>
      <c r="BU24" s="202" t="s">
        <v>15</v>
      </c>
      <c r="BV24" s="21" t="s">
        <v>15</v>
      </c>
      <c r="BW24" s="154" t="s">
        <v>15</v>
      </c>
      <c r="BX24" s="22">
        <f t="shared" si="4"/>
        <v>0.9545454545</v>
      </c>
    </row>
    <row r="25">
      <c r="A25" s="24">
        <v>21.0</v>
      </c>
      <c r="B25" s="62"/>
      <c r="C25" s="113"/>
      <c r="D25" s="16" t="s">
        <v>15</v>
      </c>
      <c r="E25" s="16" t="s">
        <v>15</v>
      </c>
      <c r="F25" s="16" t="s">
        <v>15</v>
      </c>
      <c r="G25" s="16" t="s">
        <v>15</v>
      </c>
      <c r="H25" s="16" t="s">
        <v>16</v>
      </c>
      <c r="I25" s="16" t="s">
        <v>15</v>
      </c>
      <c r="J25" s="16" t="s">
        <v>15</v>
      </c>
      <c r="K25" s="16" t="s">
        <v>15</v>
      </c>
      <c r="L25" s="16" t="s">
        <v>16</v>
      </c>
      <c r="M25" s="16" t="s">
        <v>15</v>
      </c>
      <c r="N25" s="16" t="s">
        <v>16</v>
      </c>
      <c r="O25" s="16" t="s">
        <v>15</v>
      </c>
      <c r="P25" s="16" t="s">
        <v>15</v>
      </c>
      <c r="Q25" s="16" t="s">
        <v>15</v>
      </c>
      <c r="R25" s="16" t="s">
        <v>16</v>
      </c>
      <c r="S25" s="16" t="s">
        <v>15</v>
      </c>
      <c r="T25" s="16" t="s">
        <v>15</v>
      </c>
      <c r="U25" s="16" t="s">
        <v>16</v>
      </c>
      <c r="V25" s="16" t="s">
        <v>15</v>
      </c>
      <c r="W25" s="16" t="s">
        <v>16</v>
      </c>
      <c r="X25" s="22">
        <f t="shared" si="1"/>
        <v>0.7</v>
      </c>
      <c r="Y25" s="16" t="s">
        <v>15</v>
      </c>
      <c r="Z25" s="16" t="s">
        <v>15</v>
      </c>
      <c r="AA25" s="16" t="s">
        <v>16</v>
      </c>
      <c r="AB25" s="16" t="s">
        <v>15</v>
      </c>
      <c r="AC25" s="16" t="s">
        <v>15</v>
      </c>
      <c r="AD25" s="16" t="s">
        <v>16</v>
      </c>
      <c r="AE25" s="154" t="s">
        <v>15</v>
      </c>
      <c r="AF25" s="154" t="s">
        <v>16</v>
      </c>
      <c r="AG25" s="154" t="s">
        <v>16</v>
      </c>
      <c r="AH25" s="16" t="s">
        <v>15</v>
      </c>
      <c r="AI25" s="16" t="s">
        <v>15</v>
      </c>
      <c r="AJ25" s="154" t="s">
        <v>16</v>
      </c>
      <c r="AK25" s="154" t="s">
        <v>15</v>
      </c>
      <c r="AL25" s="154" t="s">
        <v>16</v>
      </c>
      <c r="AM25" s="154" t="s">
        <v>15</v>
      </c>
      <c r="AN25" s="154" t="s">
        <v>16</v>
      </c>
      <c r="AO25" s="154" t="s">
        <v>15</v>
      </c>
      <c r="AP25" s="16" t="s">
        <v>16</v>
      </c>
      <c r="AQ25" s="16" t="s">
        <v>16</v>
      </c>
      <c r="AR25" s="154" t="s">
        <v>15</v>
      </c>
      <c r="AS25" s="22">
        <f t="shared" si="2"/>
        <v>0.55</v>
      </c>
      <c r="AT25" s="16" t="s">
        <v>16</v>
      </c>
      <c r="AU25" s="154" t="s">
        <v>15</v>
      </c>
      <c r="AV25" s="16" t="s">
        <v>15</v>
      </c>
      <c r="AW25" s="16" t="s">
        <v>15</v>
      </c>
      <c r="AX25" s="16" t="s">
        <v>15</v>
      </c>
      <c r="AY25" s="16" t="s">
        <v>16</v>
      </c>
      <c r="AZ25" s="16" t="s">
        <v>15</v>
      </c>
      <c r="BA25" s="22">
        <f t="shared" si="3"/>
        <v>0.7142857143</v>
      </c>
      <c r="BB25" s="16" t="s">
        <v>15</v>
      </c>
      <c r="BC25" s="16" t="s">
        <v>15</v>
      </c>
      <c r="BD25" s="154" t="s">
        <v>16</v>
      </c>
      <c r="BE25" s="16" t="s">
        <v>15</v>
      </c>
      <c r="BF25" s="16" t="s">
        <v>15</v>
      </c>
      <c r="BG25" s="16" t="s">
        <v>15</v>
      </c>
      <c r="BH25" s="16" t="s">
        <v>15</v>
      </c>
      <c r="BI25" s="16" t="s">
        <v>15</v>
      </c>
      <c r="BJ25" s="16" t="s">
        <v>15</v>
      </c>
      <c r="BK25" s="16" t="s">
        <v>16</v>
      </c>
      <c r="BL25" s="16" t="s">
        <v>15</v>
      </c>
      <c r="BM25" s="16" t="s">
        <v>15</v>
      </c>
      <c r="BN25" s="21" t="s">
        <v>15</v>
      </c>
      <c r="BO25" s="202" t="s">
        <v>15</v>
      </c>
      <c r="BP25" s="21" t="s">
        <v>15</v>
      </c>
      <c r="BQ25" s="21" t="s">
        <v>15</v>
      </c>
      <c r="BR25" s="21" t="s">
        <v>15</v>
      </c>
      <c r="BS25" s="21" t="s">
        <v>15</v>
      </c>
      <c r="BT25" s="21" t="s">
        <v>15</v>
      </c>
      <c r="BU25" s="202" t="s">
        <v>16</v>
      </c>
      <c r="BV25" s="16" t="s">
        <v>16</v>
      </c>
      <c r="BW25" s="202" t="s">
        <v>16</v>
      </c>
      <c r="BX25" s="22">
        <f t="shared" si="4"/>
        <v>0.7727272727</v>
      </c>
    </row>
    <row r="26">
      <c r="A26" s="182">
        <v>22.0</v>
      </c>
      <c r="B26" s="220"/>
      <c r="C26" s="221" t="s">
        <v>50</v>
      </c>
      <c r="D26" s="16" t="s">
        <v>15</v>
      </c>
      <c r="E26" s="16" t="s">
        <v>15</v>
      </c>
      <c r="F26" s="16" t="s">
        <v>15</v>
      </c>
      <c r="G26" s="16" t="s">
        <v>15</v>
      </c>
      <c r="H26" s="16" t="s">
        <v>15</v>
      </c>
      <c r="I26" s="16" t="s">
        <v>16</v>
      </c>
      <c r="J26" s="16" t="s">
        <v>15</v>
      </c>
      <c r="K26" s="16" t="s">
        <v>15</v>
      </c>
      <c r="L26" s="16" t="s">
        <v>15</v>
      </c>
      <c r="M26" s="16" t="s">
        <v>15</v>
      </c>
      <c r="N26" s="16" t="s">
        <v>15</v>
      </c>
      <c r="O26" s="16" t="s">
        <v>16</v>
      </c>
      <c r="P26" s="16" t="s">
        <v>15</v>
      </c>
      <c r="Q26" s="16" t="s">
        <v>16</v>
      </c>
      <c r="R26" s="16" t="s">
        <v>16</v>
      </c>
      <c r="S26" s="16" t="s">
        <v>15</v>
      </c>
      <c r="T26" s="16" t="s">
        <v>16</v>
      </c>
      <c r="U26" s="16" t="s">
        <v>15</v>
      </c>
      <c r="V26" s="16" t="s">
        <v>15</v>
      </c>
      <c r="W26" s="16" t="s">
        <v>16</v>
      </c>
      <c r="X26" s="22">
        <f t="shared" si="1"/>
        <v>0.7</v>
      </c>
      <c r="Y26" s="16" t="s">
        <v>16</v>
      </c>
      <c r="Z26" s="16" t="s">
        <v>15</v>
      </c>
      <c r="AA26" s="16" t="s">
        <v>16</v>
      </c>
      <c r="AB26" s="16" t="s">
        <v>15</v>
      </c>
      <c r="AC26" s="16" t="s">
        <v>16</v>
      </c>
      <c r="AD26" s="16" t="s">
        <v>15</v>
      </c>
      <c r="AE26" s="154" t="s">
        <v>16</v>
      </c>
      <c r="AF26" s="154" t="s">
        <v>16</v>
      </c>
      <c r="AG26" s="154" t="s">
        <v>15</v>
      </c>
      <c r="AH26" s="16" t="s">
        <v>15</v>
      </c>
      <c r="AI26" s="16" t="s">
        <v>15</v>
      </c>
      <c r="AJ26" s="154" t="s">
        <v>15</v>
      </c>
      <c r="AK26" s="154" t="s">
        <v>16</v>
      </c>
      <c r="AL26" s="154" t="s">
        <v>15</v>
      </c>
      <c r="AM26" s="154" t="s">
        <v>16</v>
      </c>
      <c r="AN26" s="154" t="s">
        <v>15</v>
      </c>
      <c r="AO26" s="154" t="s">
        <v>15</v>
      </c>
      <c r="AP26" s="16" t="s">
        <v>15</v>
      </c>
      <c r="AQ26" s="16" t="s">
        <v>16</v>
      </c>
      <c r="AR26" s="154" t="s">
        <v>16</v>
      </c>
      <c r="AS26" s="22">
        <f t="shared" si="2"/>
        <v>0.55</v>
      </c>
      <c r="AT26" s="16" t="s">
        <v>15</v>
      </c>
      <c r="AU26" s="154" t="s">
        <v>15</v>
      </c>
      <c r="AV26" s="16" t="s">
        <v>15</v>
      </c>
      <c r="AW26" s="52" t="s">
        <v>20</v>
      </c>
      <c r="AX26" s="52" t="s">
        <v>20</v>
      </c>
      <c r="AY26" s="52" t="s">
        <v>20</v>
      </c>
      <c r="AZ26" s="52" t="s">
        <v>20</v>
      </c>
      <c r="BA26" s="22">
        <f t="shared" si="3"/>
        <v>1</v>
      </c>
      <c r="BB26" s="52" t="s">
        <v>20</v>
      </c>
      <c r="BC26" s="52" t="s">
        <v>20</v>
      </c>
      <c r="BD26" s="52" t="s">
        <v>20</v>
      </c>
      <c r="BE26" s="52" t="s">
        <v>20</v>
      </c>
      <c r="BF26" s="52" t="s">
        <v>20</v>
      </c>
      <c r="BG26" s="52" t="s">
        <v>20</v>
      </c>
      <c r="BH26" s="52" t="s">
        <v>20</v>
      </c>
      <c r="BI26" s="52" t="s">
        <v>20</v>
      </c>
      <c r="BJ26" s="52" t="s">
        <v>20</v>
      </c>
      <c r="BK26" s="52" t="s">
        <v>20</v>
      </c>
      <c r="BL26" s="52" t="s">
        <v>20</v>
      </c>
      <c r="BM26" s="52" t="s">
        <v>20</v>
      </c>
      <c r="BN26" s="52" t="s">
        <v>20</v>
      </c>
      <c r="BO26" s="52" t="s">
        <v>20</v>
      </c>
      <c r="BP26" s="52" t="s">
        <v>20</v>
      </c>
      <c r="BQ26" s="52" t="s">
        <v>20</v>
      </c>
      <c r="BR26" s="52" t="s">
        <v>20</v>
      </c>
      <c r="BS26" s="52" t="s">
        <v>20</v>
      </c>
      <c r="BT26" s="52" t="s">
        <v>20</v>
      </c>
      <c r="BU26" s="52" t="s">
        <v>20</v>
      </c>
      <c r="BV26" s="52" t="s">
        <v>20</v>
      </c>
      <c r="BW26" s="52" t="s">
        <v>20</v>
      </c>
      <c r="BX26" s="22" t="str">
        <f t="shared" si="4"/>
        <v>0,00%</v>
      </c>
    </row>
    <row r="27">
      <c r="A27" s="24">
        <v>23.0</v>
      </c>
      <c r="B27" s="81"/>
      <c r="C27" s="113"/>
      <c r="D27" s="16" t="s">
        <v>15</v>
      </c>
      <c r="E27" s="16" t="s">
        <v>15</v>
      </c>
      <c r="F27" s="16" t="s">
        <v>15</v>
      </c>
      <c r="G27" s="16" t="s">
        <v>15</v>
      </c>
      <c r="H27" s="16" t="s">
        <v>15</v>
      </c>
      <c r="I27" s="16" t="s">
        <v>15</v>
      </c>
      <c r="J27" s="16" t="s">
        <v>15</v>
      </c>
      <c r="K27" s="16" t="s">
        <v>15</v>
      </c>
      <c r="L27" s="16" t="s">
        <v>15</v>
      </c>
      <c r="M27" s="16" t="s">
        <v>15</v>
      </c>
      <c r="N27" s="16" t="s">
        <v>15</v>
      </c>
      <c r="O27" s="16" t="s">
        <v>15</v>
      </c>
      <c r="P27" s="16" t="s">
        <v>16</v>
      </c>
      <c r="Q27" s="16" t="s">
        <v>16</v>
      </c>
      <c r="R27" s="16" t="s">
        <v>15</v>
      </c>
      <c r="S27" s="16" t="s">
        <v>15</v>
      </c>
      <c r="T27" s="16" t="s">
        <v>15</v>
      </c>
      <c r="U27" s="16" t="s">
        <v>15</v>
      </c>
      <c r="V27" s="16" t="s">
        <v>15</v>
      </c>
      <c r="W27" s="16" t="s">
        <v>16</v>
      </c>
      <c r="X27" s="22">
        <f t="shared" si="1"/>
        <v>0.85</v>
      </c>
      <c r="Y27" s="16" t="s">
        <v>15</v>
      </c>
      <c r="Z27" s="16" t="s">
        <v>15</v>
      </c>
      <c r="AA27" s="16" t="s">
        <v>16</v>
      </c>
      <c r="AB27" s="16" t="s">
        <v>15</v>
      </c>
      <c r="AC27" s="16" t="s">
        <v>15</v>
      </c>
      <c r="AD27" s="16" t="s">
        <v>15</v>
      </c>
      <c r="AE27" s="202" t="s">
        <v>15</v>
      </c>
      <c r="AF27" s="154" t="s">
        <v>15</v>
      </c>
      <c r="AG27" s="154" t="s">
        <v>16</v>
      </c>
      <c r="AH27" s="16" t="s">
        <v>15</v>
      </c>
      <c r="AI27" s="16" t="s">
        <v>16</v>
      </c>
      <c r="AJ27" s="154" t="s">
        <v>15</v>
      </c>
      <c r="AK27" s="154" t="s">
        <v>15</v>
      </c>
      <c r="AL27" s="154" t="s">
        <v>16</v>
      </c>
      <c r="AM27" s="154" t="s">
        <v>16</v>
      </c>
      <c r="AN27" s="154" t="s">
        <v>16</v>
      </c>
      <c r="AO27" s="154" t="s">
        <v>16</v>
      </c>
      <c r="AP27" s="16" t="s">
        <v>15</v>
      </c>
      <c r="AQ27" s="16" t="s">
        <v>16</v>
      </c>
      <c r="AR27" s="154" t="s">
        <v>15</v>
      </c>
      <c r="AS27" s="22">
        <f t="shared" si="2"/>
        <v>0.6</v>
      </c>
      <c r="AT27" s="16" t="s">
        <v>16</v>
      </c>
      <c r="AU27" s="154" t="s">
        <v>15</v>
      </c>
      <c r="AV27" s="16" t="s">
        <v>15</v>
      </c>
      <c r="AW27" s="16" t="s">
        <v>15</v>
      </c>
      <c r="AX27" s="16" t="s">
        <v>15</v>
      </c>
      <c r="AY27" s="16" t="s">
        <v>16</v>
      </c>
      <c r="AZ27" s="16" t="s">
        <v>15</v>
      </c>
      <c r="BA27" s="22">
        <f t="shared" si="3"/>
        <v>0.7142857143</v>
      </c>
      <c r="BB27" s="16" t="s">
        <v>15</v>
      </c>
      <c r="BC27" s="16" t="s">
        <v>15</v>
      </c>
      <c r="BD27" s="154" t="s">
        <v>16</v>
      </c>
      <c r="BE27" s="16" t="s">
        <v>15</v>
      </c>
      <c r="BF27" s="16" t="s">
        <v>15</v>
      </c>
      <c r="BG27" s="16" t="s">
        <v>15</v>
      </c>
      <c r="BH27" s="16" t="s">
        <v>15</v>
      </c>
      <c r="BI27" s="16" t="s">
        <v>15</v>
      </c>
      <c r="BJ27" s="16" t="s">
        <v>15</v>
      </c>
      <c r="BK27" s="16" t="s">
        <v>15</v>
      </c>
      <c r="BL27" s="16" t="s">
        <v>15</v>
      </c>
      <c r="BM27" s="16" t="s">
        <v>16</v>
      </c>
      <c r="BN27" s="16" t="s">
        <v>15</v>
      </c>
      <c r="BO27" s="202" t="s">
        <v>15</v>
      </c>
      <c r="BP27" s="203" t="s">
        <v>15</v>
      </c>
      <c r="BQ27" s="203" t="s">
        <v>15</v>
      </c>
      <c r="BR27" s="203" t="s">
        <v>15</v>
      </c>
      <c r="BS27" s="203" t="s">
        <v>15</v>
      </c>
      <c r="BT27" s="203" t="s">
        <v>15</v>
      </c>
      <c r="BU27" s="202" t="s">
        <v>16</v>
      </c>
      <c r="BV27" s="203" t="s">
        <v>15</v>
      </c>
      <c r="BW27" s="202" t="s">
        <v>16</v>
      </c>
      <c r="BX27" s="22">
        <f t="shared" si="4"/>
        <v>0.8181818182</v>
      </c>
    </row>
    <row r="28">
      <c r="A28" s="24">
        <v>24.0</v>
      </c>
      <c r="B28" s="91"/>
      <c r="C28" s="63"/>
      <c r="D28" s="16" t="s">
        <v>15</v>
      </c>
      <c r="E28" s="16" t="s">
        <v>15</v>
      </c>
      <c r="F28" s="16" t="s">
        <v>15</v>
      </c>
      <c r="G28" s="16" t="s">
        <v>15</v>
      </c>
      <c r="H28" s="16" t="s">
        <v>15</v>
      </c>
      <c r="I28" s="16" t="s">
        <v>16</v>
      </c>
      <c r="J28" s="16" t="s">
        <v>15</v>
      </c>
      <c r="K28" s="16" t="s">
        <v>15</v>
      </c>
      <c r="L28" s="16" t="s">
        <v>15</v>
      </c>
      <c r="M28" s="16" t="s">
        <v>15</v>
      </c>
      <c r="N28" s="16" t="s">
        <v>15</v>
      </c>
      <c r="O28" s="16" t="s">
        <v>16</v>
      </c>
      <c r="P28" s="16" t="s">
        <v>15</v>
      </c>
      <c r="Q28" s="16" t="s">
        <v>16</v>
      </c>
      <c r="R28" s="16" t="s">
        <v>15</v>
      </c>
      <c r="S28" s="16" t="s">
        <v>15</v>
      </c>
      <c r="T28" s="16" t="s">
        <v>16</v>
      </c>
      <c r="U28" s="16" t="s">
        <v>15</v>
      </c>
      <c r="V28" s="16" t="s">
        <v>15</v>
      </c>
      <c r="W28" s="16" t="s">
        <v>16</v>
      </c>
      <c r="X28" s="22">
        <f t="shared" si="1"/>
        <v>0.75</v>
      </c>
      <c r="Y28" s="16" t="s">
        <v>15</v>
      </c>
      <c r="Z28" s="16" t="s">
        <v>15</v>
      </c>
      <c r="AA28" s="16" t="s">
        <v>16</v>
      </c>
      <c r="AB28" s="16" t="s">
        <v>15</v>
      </c>
      <c r="AC28" s="16" t="s">
        <v>15</v>
      </c>
      <c r="AD28" s="16" t="s">
        <v>15</v>
      </c>
      <c r="AE28" s="202" t="s">
        <v>15</v>
      </c>
      <c r="AF28" s="154" t="s">
        <v>15</v>
      </c>
      <c r="AG28" s="154" t="s">
        <v>16</v>
      </c>
      <c r="AH28" s="16" t="s">
        <v>15</v>
      </c>
      <c r="AI28" s="16" t="s">
        <v>15</v>
      </c>
      <c r="AJ28" s="154" t="s">
        <v>15</v>
      </c>
      <c r="AK28" s="154" t="s">
        <v>16</v>
      </c>
      <c r="AL28" s="154" t="s">
        <v>16</v>
      </c>
      <c r="AM28" s="154" t="s">
        <v>15</v>
      </c>
      <c r="AN28" s="154" t="s">
        <v>16</v>
      </c>
      <c r="AO28" s="154" t="s">
        <v>15</v>
      </c>
      <c r="AP28" s="16" t="s">
        <v>16</v>
      </c>
      <c r="AQ28" s="16" t="s">
        <v>15</v>
      </c>
      <c r="AR28" s="154" t="s">
        <v>16</v>
      </c>
      <c r="AS28" s="22">
        <f t="shared" si="2"/>
        <v>0.65</v>
      </c>
      <c r="AT28" s="16" t="s">
        <v>15</v>
      </c>
      <c r="AU28" s="154" t="s">
        <v>15</v>
      </c>
      <c r="AV28" s="16" t="s">
        <v>15</v>
      </c>
      <c r="AW28" s="16" t="s">
        <v>15</v>
      </c>
      <c r="AX28" s="16" t="s">
        <v>16</v>
      </c>
      <c r="AY28" s="16" t="s">
        <v>16</v>
      </c>
      <c r="AZ28" s="16" t="s">
        <v>15</v>
      </c>
      <c r="BA28" s="22">
        <f t="shared" si="3"/>
        <v>0.7142857143</v>
      </c>
      <c r="BB28" s="16" t="s">
        <v>15</v>
      </c>
      <c r="BC28" s="16" t="s">
        <v>15</v>
      </c>
      <c r="BD28" s="154" t="s">
        <v>15</v>
      </c>
      <c r="BE28" s="16" t="s">
        <v>15</v>
      </c>
      <c r="BF28" s="16" t="s">
        <v>15</v>
      </c>
      <c r="BG28" s="16" t="s">
        <v>16</v>
      </c>
      <c r="BH28" s="16" t="s">
        <v>16</v>
      </c>
      <c r="BI28" s="16" t="s">
        <v>15</v>
      </c>
      <c r="BJ28" s="154" t="s">
        <v>15</v>
      </c>
      <c r="BK28" s="154" t="s">
        <v>15</v>
      </c>
      <c r="BL28" s="154" t="s">
        <v>16</v>
      </c>
      <c r="BM28" s="154" t="s">
        <v>15</v>
      </c>
      <c r="BN28" s="204" t="s">
        <v>15</v>
      </c>
      <c r="BO28" s="202" t="s">
        <v>15</v>
      </c>
      <c r="BP28" s="154" t="s">
        <v>16</v>
      </c>
      <c r="BQ28" s="154" t="s">
        <v>15</v>
      </c>
      <c r="BR28" s="154" t="s">
        <v>15</v>
      </c>
      <c r="BS28" s="154" t="s">
        <v>15</v>
      </c>
      <c r="BT28" s="202" t="s">
        <v>15</v>
      </c>
      <c r="BU28" s="202" t="s">
        <v>15</v>
      </c>
      <c r="BV28" s="154" t="s">
        <v>16</v>
      </c>
      <c r="BW28" s="154" t="s">
        <v>15</v>
      </c>
      <c r="BX28" s="22">
        <f t="shared" si="4"/>
        <v>0.7727272727</v>
      </c>
    </row>
    <row r="29">
      <c r="A29" s="24">
        <v>25.0</v>
      </c>
      <c r="B29" s="81"/>
      <c r="C29" s="113"/>
      <c r="D29" s="16" t="s">
        <v>15</v>
      </c>
      <c r="E29" s="16" t="s">
        <v>15</v>
      </c>
      <c r="F29" s="16" t="s">
        <v>15</v>
      </c>
      <c r="G29" s="16" t="s">
        <v>15</v>
      </c>
      <c r="H29" s="16" t="s">
        <v>15</v>
      </c>
      <c r="I29" s="16" t="s">
        <v>15</v>
      </c>
      <c r="J29" s="16" t="s">
        <v>15</v>
      </c>
      <c r="K29" s="16" t="s">
        <v>15</v>
      </c>
      <c r="L29" s="16" t="s">
        <v>15</v>
      </c>
      <c r="M29" s="16" t="s">
        <v>15</v>
      </c>
      <c r="N29" s="16" t="s">
        <v>15</v>
      </c>
      <c r="O29" s="16" t="s">
        <v>15</v>
      </c>
      <c r="P29" s="16" t="s">
        <v>15</v>
      </c>
      <c r="Q29" s="16" t="s">
        <v>15</v>
      </c>
      <c r="R29" s="16" t="s">
        <v>15</v>
      </c>
      <c r="S29" s="16" t="s">
        <v>15</v>
      </c>
      <c r="T29" s="16" t="s">
        <v>15</v>
      </c>
      <c r="U29" s="16" t="s">
        <v>15</v>
      </c>
      <c r="V29" s="16" t="s">
        <v>15</v>
      </c>
      <c r="W29" s="16" t="s">
        <v>16</v>
      </c>
      <c r="X29" s="22">
        <f t="shared" si="1"/>
        <v>0.95</v>
      </c>
      <c r="Y29" s="16" t="s">
        <v>15</v>
      </c>
      <c r="Z29" s="16" t="s">
        <v>15</v>
      </c>
      <c r="AA29" s="16" t="s">
        <v>16</v>
      </c>
      <c r="AB29" s="16" t="s">
        <v>15</v>
      </c>
      <c r="AC29" s="16" t="s">
        <v>15</v>
      </c>
      <c r="AD29" s="16" t="s">
        <v>15</v>
      </c>
      <c r="AE29" s="202" t="s">
        <v>15</v>
      </c>
      <c r="AF29" s="154" t="s">
        <v>15</v>
      </c>
      <c r="AG29" s="154" t="s">
        <v>15</v>
      </c>
      <c r="AH29" s="16" t="s">
        <v>15</v>
      </c>
      <c r="AI29" s="16" t="s">
        <v>15</v>
      </c>
      <c r="AJ29" s="154" t="s">
        <v>15</v>
      </c>
      <c r="AK29" s="154" t="s">
        <v>15</v>
      </c>
      <c r="AL29" s="154" t="s">
        <v>15</v>
      </c>
      <c r="AM29" s="154" t="s">
        <v>15</v>
      </c>
      <c r="AN29" s="154" t="s">
        <v>15</v>
      </c>
      <c r="AO29" s="154" t="s">
        <v>15</v>
      </c>
      <c r="AP29" s="16" t="s">
        <v>15</v>
      </c>
      <c r="AQ29" s="16" t="s">
        <v>15</v>
      </c>
      <c r="AR29" s="154" t="s">
        <v>15</v>
      </c>
      <c r="AS29" s="22">
        <f t="shared" si="2"/>
        <v>0.95</v>
      </c>
      <c r="AT29" s="16" t="s">
        <v>15</v>
      </c>
      <c r="AU29" s="154" t="s">
        <v>15</v>
      </c>
      <c r="AV29" s="16" t="s">
        <v>15</v>
      </c>
      <c r="AW29" s="16" t="s">
        <v>15</v>
      </c>
      <c r="AX29" s="16" t="s">
        <v>15</v>
      </c>
      <c r="AY29" s="16" t="s">
        <v>15</v>
      </c>
      <c r="AZ29" s="16" t="s">
        <v>15</v>
      </c>
      <c r="BA29" s="22">
        <f t="shared" si="3"/>
        <v>1</v>
      </c>
      <c r="BB29" s="16" t="s">
        <v>15</v>
      </c>
      <c r="BC29" s="16" t="s">
        <v>15</v>
      </c>
      <c r="BD29" s="154" t="s">
        <v>15</v>
      </c>
      <c r="BE29" s="16" t="s">
        <v>15</v>
      </c>
      <c r="BF29" s="16" t="s">
        <v>15</v>
      </c>
      <c r="BG29" s="16" t="s">
        <v>15</v>
      </c>
      <c r="BH29" s="16" t="s">
        <v>15</v>
      </c>
      <c r="BI29" s="16" t="s">
        <v>15</v>
      </c>
      <c r="BJ29" s="16" t="s">
        <v>15</v>
      </c>
      <c r="BK29" s="16" t="s">
        <v>15</v>
      </c>
      <c r="BL29" s="16" t="s">
        <v>15</v>
      </c>
      <c r="BM29" s="16" t="s">
        <v>15</v>
      </c>
      <c r="BN29" s="21" t="s">
        <v>15</v>
      </c>
      <c r="BO29" s="154" t="s">
        <v>16</v>
      </c>
      <c r="BP29" s="16" t="s">
        <v>15</v>
      </c>
      <c r="BQ29" s="16" t="s">
        <v>15</v>
      </c>
      <c r="BR29" s="16" t="s">
        <v>15</v>
      </c>
      <c r="BS29" s="16" t="s">
        <v>15</v>
      </c>
      <c r="BT29" s="203" t="s">
        <v>15</v>
      </c>
      <c r="BU29" s="202" t="s">
        <v>15</v>
      </c>
      <c r="BV29" s="16" t="s">
        <v>15</v>
      </c>
      <c r="BW29" s="154" t="s">
        <v>15</v>
      </c>
      <c r="BX29" s="22">
        <f t="shared" si="4"/>
        <v>0.9545454545</v>
      </c>
    </row>
    <row r="30">
      <c r="A30" s="16">
        <v>26.0</v>
      </c>
      <c r="B30" s="25"/>
      <c r="C30" s="63"/>
      <c r="D30" s="16" t="s">
        <v>15</v>
      </c>
      <c r="E30" s="16" t="s">
        <v>15</v>
      </c>
      <c r="F30" s="16" t="s">
        <v>15</v>
      </c>
      <c r="G30" s="16" t="s">
        <v>15</v>
      </c>
      <c r="H30" s="16" t="s">
        <v>16</v>
      </c>
      <c r="I30" s="16" t="s">
        <v>15</v>
      </c>
      <c r="J30" s="16" t="s">
        <v>15</v>
      </c>
      <c r="K30" s="16" t="s">
        <v>15</v>
      </c>
      <c r="L30" s="16" t="s">
        <v>15</v>
      </c>
      <c r="M30" s="16" t="s">
        <v>15</v>
      </c>
      <c r="N30" s="16" t="s">
        <v>15</v>
      </c>
      <c r="O30" s="16" t="s">
        <v>15</v>
      </c>
      <c r="P30" s="16" t="s">
        <v>15</v>
      </c>
      <c r="Q30" s="16" t="s">
        <v>16</v>
      </c>
      <c r="R30" s="16" t="s">
        <v>15</v>
      </c>
      <c r="S30" s="16" t="s">
        <v>15</v>
      </c>
      <c r="T30" s="16" t="s">
        <v>16</v>
      </c>
      <c r="U30" s="16" t="s">
        <v>15</v>
      </c>
      <c r="V30" s="16" t="s">
        <v>15</v>
      </c>
      <c r="W30" s="16" t="s">
        <v>16</v>
      </c>
      <c r="X30" s="22">
        <f t="shared" si="1"/>
        <v>0.8</v>
      </c>
      <c r="Y30" s="16" t="s">
        <v>15</v>
      </c>
      <c r="Z30" s="16" t="s">
        <v>15</v>
      </c>
      <c r="AA30" s="16" t="s">
        <v>15</v>
      </c>
      <c r="AB30" s="16" t="s">
        <v>15</v>
      </c>
      <c r="AC30" s="16" t="s">
        <v>15</v>
      </c>
      <c r="AD30" s="16" t="s">
        <v>15</v>
      </c>
      <c r="AE30" s="202" t="s">
        <v>15</v>
      </c>
      <c r="AF30" s="154" t="s">
        <v>16</v>
      </c>
      <c r="AG30" s="154" t="s">
        <v>16</v>
      </c>
      <c r="AH30" s="16" t="s">
        <v>15</v>
      </c>
      <c r="AI30" s="16" t="s">
        <v>15</v>
      </c>
      <c r="AJ30" s="154" t="s">
        <v>15</v>
      </c>
      <c r="AK30" s="154" t="s">
        <v>15</v>
      </c>
      <c r="AL30" s="154" t="s">
        <v>15</v>
      </c>
      <c r="AM30" s="154" t="s">
        <v>15</v>
      </c>
      <c r="AN30" s="154" t="s">
        <v>15</v>
      </c>
      <c r="AO30" s="154" t="s">
        <v>15</v>
      </c>
      <c r="AP30" s="16" t="s">
        <v>15</v>
      </c>
      <c r="AQ30" s="16" t="s">
        <v>15</v>
      </c>
      <c r="AR30" s="154" t="s">
        <v>15</v>
      </c>
      <c r="AS30" s="22">
        <f t="shared" si="2"/>
        <v>0.9</v>
      </c>
      <c r="AT30" s="16" t="s">
        <v>15</v>
      </c>
      <c r="AU30" s="154" t="s">
        <v>15</v>
      </c>
      <c r="AV30" s="16" t="s">
        <v>15</v>
      </c>
      <c r="AW30" s="16" t="s">
        <v>15</v>
      </c>
      <c r="AX30" s="16" t="s">
        <v>15</v>
      </c>
      <c r="AY30" s="16" t="s">
        <v>15</v>
      </c>
      <c r="AZ30" s="16" t="s">
        <v>15</v>
      </c>
      <c r="BA30" s="22">
        <f t="shared" si="3"/>
        <v>1</v>
      </c>
      <c r="BB30" s="16" t="s">
        <v>15</v>
      </c>
      <c r="BC30" s="16" t="s">
        <v>16</v>
      </c>
      <c r="BD30" s="154" t="s">
        <v>15</v>
      </c>
      <c r="BE30" s="16" t="s">
        <v>15</v>
      </c>
      <c r="BF30" s="16" t="s">
        <v>15</v>
      </c>
      <c r="BG30" s="16" t="s">
        <v>16</v>
      </c>
      <c r="BH30" s="16" t="s">
        <v>15</v>
      </c>
      <c r="BI30" s="16" t="s">
        <v>16</v>
      </c>
      <c r="BJ30" s="154" t="s">
        <v>15</v>
      </c>
      <c r="BK30" s="154" t="s">
        <v>15</v>
      </c>
      <c r="BL30" s="154" t="s">
        <v>16</v>
      </c>
      <c r="BM30" s="154" t="s">
        <v>15</v>
      </c>
      <c r="BN30" s="204" t="s">
        <v>15</v>
      </c>
      <c r="BO30" s="202" t="s">
        <v>15</v>
      </c>
      <c r="BP30" s="204" t="s">
        <v>15</v>
      </c>
      <c r="BQ30" s="204" t="s">
        <v>15</v>
      </c>
      <c r="BR30" s="204" t="s">
        <v>15</v>
      </c>
      <c r="BS30" s="204" t="s">
        <v>15</v>
      </c>
      <c r="BT30" s="204" t="s">
        <v>15</v>
      </c>
      <c r="BU30" s="202" t="s">
        <v>15</v>
      </c>
      <c r="BV30" s="204" t="s">
        <v>15</v>
      </c>
      <c r="BW30" s="202" t="s">
        <v>16</v>
      </c>
      <c r="BX30" s="22">
        <f t="shared" si="4"/>
        <v>0.7727272727</v>
      </c>
    </row>
    <row r="31">
      <c r="A31" s="16">
        <v>27.0</v>
      </c>
      <c r="B31" s="62"/>
      <c r="C31" s="113"/>
      <c r="D31" s="16" t="s">
        <v>15</v>
      </c>
      <c r="E31" s="16" t="s">
        <v>15</v>
      </c>
      <c r="F31" s="16" t="s">
        <v>15</v>
      </c>
      <c r="G31" s="16" t="s">
        <v>15</v>
      </c>
      <c r="H31" s="16" t="s">
        <v>15</v>
      </c>
      <c r="I31" s="16" t="s">
        <v>15</v>
      </c>
      <c r="J31" s="16" t="s">
        <v>15</v>
      </c>
      <c r="K31" s="16" t="s">
        <v>15</v>
      </c>
      <c r="L31" s="16" t="s">
        <v>15</v>
      </c>
      <c r="M31" s="16" t="s">
        <v>15</v>
      </c>
      <c r="N31" s="16" t="s">
        <v>15</v>
      </c>
      <c r="O31" s="16" t="s">
        <v>15</v>
      </c>
      <c r="P31" s="16" t="s">
        <v>15</v>
      </c>
      <c r="Q31" s="16" t="s">
        <v>15</v>
      </c>
      <c r="R31" s="16" t="s">
        <v>15</v>
      </c>
      <c r="S31" s="16" t="s">
        <v>15</v>
      </c>
      <c r="T31" s="16" t="s">
        <v>15</v>
      </c>
      <c r="U31" s="16" t="s">
        <v>15</v>
      </c>
      <c r="V31" s="16" t="s">
        <v>15</v>
      </c>
      <c r="W31" s="16" t="s">
        <v>15</v>
      </c>
      <c r="X31" s="22">
        <f t="shared" si="1"/>
        <v>1</v>
      </c>
      <c r="Y31" s="16" t="s">
        <v>15</v>
      </c>
      <c r="Z31" s="16" t="s">
        <v>15</v>
      </c>
      <c r="AA31" s="16" t="s">
        <v>15</v>
      </c>
      <c r="AB31" s="16" t="s">
        <v>15</v>
      </c>
      <c r="AC31" s="16" t="s">
        <v>15</v>
      </c>
      <c r="AD31" s="16" t="s">
        <v>15</v>
      </c>
      <c r="AE31" s="204" t="s">
        <v>15</v>
      </c>
      <c r="AF31" s="154" t="s">
        <v>15</v>
      </c>
      <c r="AG31" s="154" t="s">
        <v>16</v>
      </c>
      <c r="AH31" s="16" t="s">
        <v>15</v>
      </c>
      <c r="AI31" s="16" t="s">
        <v>15</v>
      </c>
      <c r="AJ31" s="154" t="s">
        <v>15</v>
      </c>
      <c r="AK31" s="154" t="s">
        <v>15</v>
      </c>
      <c r="AL31" s="154" t="s">
        <v>15</v>
      </c>
      <c r="AM31" s="154" t="s">
        <v>15</v>
      </c>
      <c r="AN31" s="154" t="s">
        <v>16</v>
      </c>
      <c r="AO31" s="154" t="s">
        <v>15</v>
      </c>
      <c r="AP31" s="16" t="s">
        <v>15</v>
      </c>
      <c r="AQ31" s="16" t="s">
        <v>15</v>
      </c>
      <c r="AR31" s="154" t="s">
        <v>15</v>
      </c>
      <c r="AS31" s="22">
        <f t="shared" si="2"/>
        <v>0.9</v>
      </c>
      <c r="AT31" s="16" t="s">
        <v>15</v>
      </c>
      <c r="AU31" s="154" t="s">
        <v>15</v>
      </c>
      <c r="AV31" s="16" t="s">
        <v>15</v>
      </c>
      <c r="AW31" s="16" t="s">
        <v>15</v>
      </c>
      <c r="AX31" s="16" t="s">
        <v>15</v>
      </c>
      <c r="AY31" s="16" t="s">
        <v>15</v>
      </c>
      <c r="AZ31" s="16" t="s">
        <v>15</v>
      </c>
      <c r="BA31" s="22">
        <f t="shared" si="3"/>
        <v>1</v>
      </c>
      <c r="BB31" s="16" t="s">
        <v>15</v>
      </c>
      <c r="BC31" s="16" t="s">
        <v>15</v>
      </c>
      <c r="BD31" s="154" t="s">
        <v>15</v>
      </c>
      <c r="BE31" s="16" t="s">
        <v>15</v>
      </c>
      <c r="BF31" s="16" t="s">
        <v>15</v>
      </c>
      <c r="BG31" s="16" t="s">
        <v>15</v>
      </c>
      <c r="BH31" s="16" t="s">
        <v>16</v>
      </c>
      <c r="BI31" s="16" t="s">
        <v>15</v>
      </c>
      <c r="BJ31" s="16" t="s">
        <v>15</v>
      </c>
      <c r="BK31" s="16" t="s">
        <v>15</v>
      </c>
      <c r="BL31" s="16" t="s">
        <v>16</v>
      </c>
      <c r="BM31" s="16" t="s">
        <v>15</v>
      </c>
      <c r="BN31" s="204" t="s">
        <v>15</v>
      </c>
      <c r="BO31" s="202" t="s">
        <v>15</v>
      </c>
      <c r="BP31" s="204" t="s">
        <v>15</v>
      </c>
      <c r="BQ31" s="204" t="s">
        <v>15</v>
      </c>
      <c r="BR31" s="204" t="s">
        <v>15</v>
      </c>
      <c r="BS31" s="204" t="s">
        <v>15</v>
      </c>
      <c r="BT31" s="204" t="s">
        <v>15</v>
      </c>
      <c r="BU31" s="202" t="s">
        <v>15</v>
      </c>
      <c r="BV31" s="204" t="s">
        <v>15</v>
      </c>
      <c r="BW31" s="154" t="s">
        <v>15</v>
      </c>
      <c r="BX31" s="22">
        <f t="shared" si="4"/>
        <v>0.9090909091</v>
      </c>
    </row>
    <row r="32">
      <c r="A32" s="16">
        <v>28.0</v>
      </c>
      <c r="B32" s="62"/>
      <c r="C32" s="113">
        <v>46167.0</v>
      </c>
      <c r="D32" s="52" t="s">
        <v>20</v>
      </c>
      <c r="E32" s="52" t="s">
        <v>20</v>
      </c>
      <c r="F32" s="52" t="s">
        <v>20</v>
      </c>
      <c r="G32" s="52" t="s">
        <v>20</v>
      </c>
      <c r="H32" s="52" t="s">
        <v>20</v>
      </c>
      <c r="I32" s="52" t="s">
        <v>20</v>
      </c>
      <c r="J32" s="52" t="s">
        <v>20</v>
      </c>
      <c r="K32" s="52" t="s">
        <v>20</v>
      </c>
      <c r="L32" s="52" t="s">
        <v>20</v>
      </c>
      <c r="M32" s="52" t="s">
        <v>20</v>
      </c>
      <c r="N32" s="52" t="s">
        <v>20</v>
      </c>
      <c r="O32" s="52" t="s">
        <v>20</v>
      </c>
      <c r="P32" s="52" t="s">
        <v>20</v>
      </c>
      <c r="Q32" s="52" t="s">
        <v>20</v>
      </c>
      <c r="R32" s="52" t="s">
        <v>20</v>
      </c>
      <c r="S32" s="230" t="s">
        <v>15</v>
      </c>
      <c r="T32" s="16" t="s">
        <v>15</v>
      </c>
      <c r="U32" s="16" t="s">
        <v>15</v>
      </c>
      <c r="V32" s="16" t="s">
        <v>15</v>
      </c>
      <c r="W32" s="16" t="s">
        <v>15</v>
      </c>
      <c r="X32" s="22">
        <f>COUNTIF(S32:W32,"P")/COUNT(S$4:W$4)</f>
        <v>1</v>
      </c>
      <c r="Y32" s="16" t="s">
        <v>15</v>
      </c>
      <c r="Z32" s="16" t="s">
        <v>15</v>
      </c>
      <c r="AA32" s="16" t="s">
        <v>15</v>
      </c>
      <c r="AB32" s="16" t="s">
        <v>15</v>
      </c>
      <c r="AC32" s="16" t="s">
        <v>15</v>
      </c>
      <c r="AD32" s="16" t="s">
        <v>15</v>
      </c>
      <c r="AE32" s="204" t="s">
        <v>15</v>
      </c>
      <c r="AF32" s="154" t="s">
        <v>15</v>
      </c>
      <c r="AG32" s="154" t="s">
        <v>15</v>
      </c>
      <c r="AH32" s="16" t="s">
        <v>15</v>
      </c>
      <c r="AI32" s="16" t="s">
        <v>15</v>
      </c>
      <c r="AJ32" s="154" t="s">
        <v>15</v>
      </c>
      <c r="AK32" s="154" t="s">
        <v>16</v>
      </c>
      <c r="AL32" s="154" t="s">
        <v>15</v>
      </c>
      <c r="AM32" s="154" t="s">
        <v>15</v>
      </c>
      <c r="AN32" s="154" t="s">
        <v>16</v>
      </c>
      <c r="AO32" s="154" t="s">
        <v>15</v>
      </c>
      <c r="AP32" s="16" t="s">
        <v>15</v>
      </c>
      <c r="AQ32" s="16" t="s">
        <v>16</v>
      </c>
      <c r="AR32" s="154" t="s">
        <v>15</v>
      </c>
      <c r="AS32" s="22">
        <f t="shared" si="2"/>
        <v>0.85</v>
      </c>
      <c r="AT32" s="16" t="s">
        <v>16</v>
      </c>
      <c r="AU32" s="154" t="s">
        <v>15</v>
      </c>
      <c r="AV32" s="16" t="s">
        <v>15</v>
      </c>
      <c r="AW32" s="16" t="s">
        <v>15</v>
      </c>
      <c r="AX32" s="16" t="s">
        <v>15</v>
      </c>
      <c r="AY32" s="16" t="s">
        <v>15</v>
      </c>
      <c r="AZ32" s="16" t="s">
        <v>15</v>
      </c>
      <c r="BA32" s="22">
        <f>COUNTIF(AT32:AZ32,"P")/COUNT(AT$4:AZ$4)</f>
        <v>0.8571428571</v>
      </c>
      <c r="BB32" s="16" t="s">
        <v>15</v>
      </c>
      <c r="BC32" s="16" t="s">
        <v>15</v>
      </c>
      <c r="BD32" s="154" t="s">
        <v>16</v>
      </c>
      <c r="BE32" s="16" t="s">
        <v>16</v>
      </c>
      <c r="BF32" s="16" t="s">
        <v>15</v>
      </c>
      <c r="BG32" s="16" t="s">
        <v>16</v>
      </c>
      <c r="BH32" s="16" t="s">
        <v>16</v>
      </c>
      <c r="BI32" s="16" t="s">
        <v>16</v>
      </c>
      <c r="BJ32" s="154" t="s">
        <v>15</v>
      </c>
      <c r="BK32" s="154" t="s">
        <v>15</v>
      </c>
      <c r="BL32" s="154" t="s">
        <v>15</v>
      </c>
      <c r="BM32" s="154" t="s">
        <v>15</v>
      </c>
      <c r="BN32" s="204" t="s">
        <v>15</v>
      </c>
      <c r="BO32" s="154" t="s">
        <v>16</v>
      </c>
      <c r="BP32" s="204" t="s">
        <v>16</v>
      </c>
      <c r="BQ32" s="204" t="s">
        <v>15</v>
      </c>
      <c r="BR32" s="204" t="s">
        <v>15</v>
      </c>
      <c r="BS32" s="204" t="s">
        <v>15</v>
      </c>
      <c r="BT32" s="204" t="s">
        <v>15</v>
      </c>
      <c r="BU32" s="202" t="s">
        <v>16</v>
      </c>
      <c r="BV32" s="204" t="s">
        <v>15</v>
      </c>
      <c r="BW32" s="202" t="s">
        <v>16</v>
      </c>
      <c r="BX32" s="22">
        <f t="shared" si="4"/>
        <v>0.5909090909</v>
      </c>
    </row>
    <row r="33">
      <c r="A33" s="16">
        <v>29.0</v>
      </c>
      <c r="B33" s="62"/>
      <c r="C33" s="113">
        <v>46181.0</v>
      </c>
      <c r="D33" s="52" t="s">
        <v>20</v>
      </c>
      <c r="E33" s="52" t="s">
        <v>20</v>
      </c>
      <c r="F33" s="52" t="s">
        <v>20</v>
      </c>
      <c r="G33" s="52" t="s">
        <v>20</v>
      </c>
      <c r="H33" s="52" t="s">
        <v>20</v>
      </c>
      <c r="I33" s="52" t="s">
        <v>20</v>
      </c>
      <c r="J33" s="52" t="s">
        <v>20</v>
      </c>
      <c r="K33" s="52" t="s">
        <v>20</v>
      </c>
      <c r="L33" s="52" t="s">
        <v>20</v>
      </c>
      <c r="M33" s="52" t="s">
        <v>20</v>
      </c>
      <c r="N33" s="52" t="s">
        <v>20</v>
      </c>
      <c r="O33" s="52" t="s">
        <v>20</v>
      </c>
      <c r="P33" s="52" t="s">
        <v>20</v>
      </c>
      <c r="Q33" s="52" t="s">
        <v>20</v>
      </c>
      <c r="R33" s="52" t="s">
        <v>20</v>
      </c>
      <c r="S33" s="52" t="s">
        <v>20</v>
      </c>
      <c r="T33" s="52" t="s">
        <v>20</v>
      </c>
      <c r="U33" s="52" t="s">
        <v>20</v>
      </c>
      <c r="V33" s="52" t="s">
        <v>20</v>
      </c>
      <c r="W33" s="52" t="s">
        <v>20</v>
      </c>
      <c r="X33" s="48" t="str">
        <f t="shared" ref="X33:X34" si="5">IFERROR(COUNTIF(D33:W33,"P")/(COUNTIF(D33:W33,"P")+COUNTIF(D33:W33,"F")), "0,00%")</f>
        <v>0,00%</v>
      </c>
      <c r="Y33" s="52" t="s">
        <v>20</v>
      </c>
      <c r="Z33" s="52" t="s">
        <v>20</v>
      </c>
      <c r="AA33" s="52" t="s">
        <v>20</v>
      </c>
      <c r="AB33" s="17" t="s">
        <v>16</v>
      </c>
      <c r="AC33" s="17" t="s">
        <v>15</v>
      </c>
      <c r="AD33" s="16" t="s">
        <v>16</v>
      </c>
      <c r="AE33" s="154" t="s">
        <v>15</v>
      </c>
      <c r="AF33" s="154" t="s">
        <v>15</v>
      </c>
      <c r="AG33" s="154" t="s">
        <v>16</v>
      </c>
      <c r="AH33" s="16" t="s">
        <v>15</v>
      </c>
      <c r="AI33" s="16" t="s">
        <v>15</v>
      </c>
      <c r="AJ33" s="154" t="s">
        <v>16</v>
      </c>
      <c r="AK33" s="154" t="s">
        <v>16</v>
      </c>
      <c r="AL33" s="154" t="s">
        <v>15</v>
      </c>
      <c r="AM33" s="154" t="s">
        <v>16</v>
      </c>
      <c r="AN33" s="154" t="s">
        <v>16</v>
      </c>
      <c r="AO33" s="154" t="s">
        <v>16</v>
      </c>
      <c r="AP33" s="154" t="s">
        <v>15</v>
      </c>
      <c r="AQ33" s="154" t="s">
        <v>16</v>
      </c>
      <c r="AR33" s="154" t="s">
        <v>15</v>
      </c>
      <c r="AS33" s="22">
        <f t="shared" si="2"/>
        <v>0.4705882353</v>
      </c>
      <c r="AT33" s="154" t="s">
        <v>15</v>
      </c>
      <c r="AU33" s="154" t="s">
        <v>15</v>
      </c>
      <c r="AV33" s="16" t="s">
        <v>15</v>
      </c>
      <c r="AW33" s="16" t="s">
        <v>15</v>
      </c>
      <c r="AX33" s="16" t="s">
        <v>15</v>
      </c>
      <c r="AY33" s="16" t="s">
        <v>16</v>
      </c>
      <c r="AZ33" s="16" t="s">
        <v>15</v>
      </c>
      <c r="BA33" s="22" t="s">
        <v>51</v>
      </c>
      <c r="BB33" s="16" t="s">
        <v>15</v>
      </c>
      <c r="BC33" s="16" t="s">
        <v>15</v>
      </c>
      <c r="BD33" s="154" t="s">
        <v>15</v>
      </c>
      <c r="BE33" s="16" t="s">
        <v>16</v>
      </c>
      <c r="BF33" s="16" t="s">
        <v>15</v>
      </c>
      <c r="BG33" s="16" t="s">
        <v>15</v>
      </c>
      <c r="BH33" s="16" t="s">
        <v>15</v>
      </c>
      <c r="BI33" s="16" t="s">
        <v>15</v>
      </c>
      <c r="BJ33" s="154" t="s">
        <v>16</v>
      </c>
      <c r="BK33" s="154" t="s">
        <v>15</v>
      </c>
      <c r="BL33" s="154" t="s">
        <v>15</v>
      </c>
      <c r="BM33" s="154" t="s">
        <v>16</v>
      </c>
      <c r="BN33" s="204" t="s">
        <v>15</v>
      </c>
      <c r="BO33" s="202" t="s">
        <v>15</v>
      </c>
      <c r="BP33" s="204" t="s">
        <v>16</v>
      </c>
      <c r="BQ33" s="204" t="s">
        <v>15</v>
      </c>
      <c r="BR33" s="204" t="s">
        <v>16</v>
      </c>
      <c r="BS33" s="204" t="s">
        <v>15</v>
      </c>
      <c r="BT33" s="204" t="s">
        <v>15</v>
      </c>
      <c r="BU33" s="202" t="s">
        <v>15</v>
      </c>
      <c r="BV33" s="154" t="s">
        <v>16</v>
      </c>
      <c r="BW33" s="202" t="s">
        <v>16</v>
      </c>
      <c r="BX33" s="22">
        <f t="shared" si="4"/>
        <v>0.6818181818</v>
      </c>
    </row>
    <row r="34">
      <c r="A34" s="16">
        <v>30.0</v>
      </c>
      <c r="B34" s="233"/>
      <c r="C34" s="116">
        <v>46240.0</v>
      </c>
      <c r="D34" s="52" t="s">
        <v>20</v>
      </c>
      <c r="E34" s="52" t="s">
        <v>20</v>
      </c>
      <c r="F34" s="52" t="s">
        <v>20</v>
      </c>
      <c r="G34" s="52" t="s">
        <v>20</v>
      </c>
      <c r="H34" s="52" t="s">
        <v>20</v>
      </c>
      <c r="I34" s="52" t="s">
        <v>20</v>
      </c>
      <c r="J34" s="52" t="s">
        <v>20</v>
      </c>
      <c r="K34" s="52" t="s">
        <v>20</v>
      </c>
      <c r="L34" s="52" t="s">
        <v>20</v>
      </c>
      <c r="M34" s="52" t="s">
        <v>20</v>
      </c>
      <c r="N34" s="52" t="s">
        <v>20</v>
      </c>
      <c r="O34" s="52" t="s">
        <v>20</v>
      </c>
      <c r="P34" s="52" t="s">
        <v>20</v>
      </c>
      <c r="Q34" s="52" t="s">
        <v>20</v>
      </c>
      <c r="R34" s="52" t="s">
        <v>20</v>
      </c>
      <c r="S34" s="52" t="s">
        <v>20</v>
      </c>
      <c r="T34" s="52" t="s">
        <v>20</v>
      </c>
      <c r="U34" s="52" t="s">
        <v>20</v>
      </c>
      <c r="V34" s="52" t="s">
        <v>20</v>
      </c>
      <c r="W34" s="52" t="s">
        <v>20</v>
      </c>
      <c r="X34" s="22" t="str">
        <f t="shared" si="5"/>
        <v>0,00%</v>
      </c>
      <c r="Y34" s="52" t="s">
        <v>20</v>
      </c>
      <c r="Z34" s="52" t="s">
        <v>20</v>
      </c>
      <c r="AA34" s="52" t="s">
        <v>20</v>
      </c>
      <c r="AB34" s="52" t="s">
        <v>20</v>
      </c>
      <c r="AC34" s="52" t="s">
        <v>20</v>
      </c>
      <c r="AD34" s="52" t="s">
        <v>20</v>
      </c>
      <c r="AE34" s="52" t="s">
        <v>20</v>
      </c>
      <c r="AF34" s="52" t="s">
        <v>20</v>
      </c>
      <c r="AG34" s="52" t="s">
        <v>20</v>
      </c>
      <c r="AH34" s="52" t="s">
        <v>20</v>
      </c>
      <c r="AI34" s="52" t="s">
        <v>20</v>
      </c>
      <c r="AJ34" s="52" t="s">
        <v>20</v>
      </c>
      <c r="AK34" s="52" t="s">
        <v>20</v>
      </c>
      <c r="AL34" s="52" t="s">
        <v>20</v>
      </c>
      <c r="AM34" s="52" t="s">
        <v>20</v>
      </c>
      <c r="AN34" s="52" t="s">
        <v>20</v>
      </c>
      <c r="AO34" s="52" t="s">
        <v>20</v>
      </c>
      <c r="AP34" s="52" t="s">
        <v>20</v>
      </c>
      <c r="AQ34" s="52" t="s">
        <v>20</v>
      </c>
      <c r="AR34" s="52" t="s">
        <v>20</v>
      </c>
      <c r="AS34" s="22" t="str">
        <f t="shared" si="2"/>
        <v>0,00%</v>
      </c>
      <c r="AT34" s="52" t="s">
        <v>20</v>
      </c>
      <c r="AU34" s="52" t="s">
        <v>20</v>
      </c>
      <c r="AV34" s="52" t="s">
        <v>20</v>
      </c>
      <c r="AW34" s="52" t="s">
        <v>20</v>
      </c>
      <c r="AX34" s="52" t="s">
        <v>20</v>
      </c>
      <c r="AY34" s="52" t="s">
        <v>20</v>
      </c>
      <c r="AZ34" s="52" t="s">
        <v>20</v>
      </c>
      <c r="BA34" s="22" t="s">
        <v>51</v>
      </c>
      <c r="BB34" s="52" t="s">
        <v>20</v>
      </c>
      <c r="BC34" s="52" t="s">
        <v>20</v>
      </c>
      <c r="BD34" s="154" t="s">
        <v>15</v>
      </c>
      <c r="BE34" s="16" t="s">
        <v>15</v>
      </c>
      <c r="BF34" s="16" t="s">
        <v>15</v>
      </c>
      <c r="BG34" s="16" t="s">
        <v>16</v>
      </c>
      <c r="BH34" s="16" t="s">
        <v>16</v>
      </c>
      <c r="BI34" s="16" t="s">
        <v>15</v>
      </c>
      <c r="BJ34" s="154" t="s">
        <v>15</v>
      </c>
      <c r="BK34" s="154" t="s">
        <v>16</v>
      </c>
      <c r="BL34" s="154" t="s">
        <v>16</v>
      </c>
      <c r="BM34" s="154" t="s">
        <v>16</v>
      </c>
      <c r="BN34" s="154" t="s">
        <v>15</v>
      </c>
      <c r="BO34" s="154" t="s">
        <v>16</v>
      </c>
      <c r="BP34" s="204" t="s">
        <v>16</v>
      </c>
      <c r="BQ34" s="204" t="s">
        <v>15</v>
      </c>
      <c r="BR34" s="204" t="s">
        <v>15</v>
      </c>
      <c r="BS34" s="154" t="s">
        <v>15</v>
      </c>
      <c r="BT34" s="154" t="s">
        <v>15</v>
      </c>
      <c r="BU34" s="202" t="s">
        <v>15</v>
      </c>
      <c r="BV34" s="154" t="s">
        <v>16</v>
      </c>
      <c r="BW34" s="202" t="s">
        <v>16</v>
      </c>
      <c r="BX34" s="22">
        <f t="shared" si="4"/>
        <v>0.55</v>
      </c>
    </row>
    <row r="35">
      <c r="A35" s="6"/>
      <c r="E35" s="196" t="s">
        <v>28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95"/>
    </row>
    <row r="36">
      <c r="A36" s="6"/>
      <c r="E36" s="117" t="s">
        <v>52</v>
      </c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101"/>
    </row>
    <row r="37">
      <c r="A37" s="6"/>
      <c r="E37" s="117" t="s">
        <v>53</v>
      </c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101"/>
    </row>
    <row r="38">
      <c r="A38" s="6"/>
      <c r="E38" s="117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101"/>
    </row>
    <row r="39">
      <c r="A39" s="6"/>
      <c r="E39" s="117" t="s">
        <v>54</v>
      </c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101"/>
    </row>
    <row r="40">
      <c r="A40" s="6"/>
      <c r="E40" s="117" t="s">
        <v>55</v>
      </c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101"/>
    </row>
    <row r="41">
      <c r="A41" s="6"/>
      <c r="E41" s="117" t="s">
        <v>56</v>
      </c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101"/>
    </row>
    <row r="42">
      <c r="A42" s="6"/>
      <c r="E42" s="117" t="s">
        <v>57</v>
      </c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101"/>
    </row>
    <row r="43">
      <c r="A43" s="6"/>
      <c r="E43" s="97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101"/>
    </row>
    <row r="44">
      <c r="A44" s="6"/>
      <c r="E44" s="97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101"/>
    </row>
    <row r="45">
      <c r="A45" s="6"/>
      <c r="E45" s="97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101"/>
    </row>
    <row r="46">
      <c r="E46" s="97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101"/>
    </row>
  </sheetData>
  <mergeCells count="19">
    <mergeCell ref="D1:W3"/>
    <mergeCell ref="AT1:AZ3"/>
    <mergeCell ref="BB1:BW3"/>
    <mergeCell ref="X2:X3"/>
    <mergeCell ref="AS2:AS3"/>
    <mergeCell ref="BA2:BA3"/>
    <mergeCell ref="BX2:BX3"/>
    <mergeCell ref="E42:AS42"/>
    <mergeCell ref="E43:AS43"/>
    <mergeCell ref="E44:AS44"/>
    <mergeCell ref="E45:AS45"/>
    <mergeCell ref="E46:AS46"/>
    <mergeCell ref="Y1:AR3"/>
    <mergeCell ref="E36:AS36"/>
    <mergeCell ref="E37:AS37"/>
    <mergeCell ref="E38:AS38"/>
    <mergeCell ref="E39:AS39"/>
    <mergeCell ref="E40:AS40"/>
    <mergeCell ref="E41:AS41"/>
  </mergeCells>
  <conditionalFormatting sqref="D5:D34 E5:J38 K5:K34 L5:AE38 AF5:AF34 AG5:BE38 BF5:BW34">
    <cfRule type="cellIs" dxfId="3" priority="1" operator="equal">
      <formula>"P"</formula>
    </cfRule>
  </conditionalFormatting>
  <conditionalFormatting sqref="D5:D34 E5:J38 K5:K34 L5:AE38 AF5:AF34 AG5:BE38 BF5:BW34">
    <cfRule type="cellIs" dxfId="4" priority="2" operator="equal">
      <formula>"F"</formula>
    </cfRule>
  </conditionalFormatting>
  <dataValidations>
    <dataValidation type="list" allowBlank="1" showDropDown="1" sqref="AQ5 S5:T6 T7 AK5:AN7 S8:T8 T9:T10 AK8:AO10 AK11:AN11 S11:T12 T13:T14 BO14 S15:T15 T16 F5:G17 I5:I17 N5:O17 S17:T17 W5:W17 Y5:AB17 AG5:AG17 AK12:AO17 AQ10:AQ17 AT5:AT17 AV5:AZ17 BB5:BC17 BE5:BH17 BL5:BM17 BQ5:BR17 D18:W18 Y18:AR18 AT18:AZ18 BB18:BW18 S19:T20 BO20 T21 AK19:AO21 AK22:AN22 AK23:AO25 BB19:BC25 BE19:BH25 BL19:BM25 BQ19:BR25 AK26:AL26 AN26:AO26 BB26:BW26 AK27:AN27 BO29 F19:G31 I19:I31 N19:O31 S22:T31 D32:T32 W19:W32 Y19:AB32 AK28:AO32 BO32 Y33:AA33 AG19:AG33 AI33 AK33:AL33 AN33 AQ19:AQ33 AT19:AT33 AV19:AZ33 BE27:BH33 BL27:BM33 D33:W34 Y34:AR34 AT34:AZ34 BB27:BC34 BF34:BH34 BL34:BO34 BQ27:BR34">
      <formula1>"-,P,F"</formula1>
    </dataValidation>
    <dataValidation type="custom" allowBlank="1" showDropDown="1" sqref="B7 C8 B16:B17 B26 B29">
      <formula1>OR(NOT(ISERROR(DATEVALUE(B7))), AND(ISNUMBER(B7), LEFT(CELL("format", B7))="D"))</formula1>
    </dataValidation>
    <dataValidation type="custom" allowBlank="1" showDropDown="1" showErrorMessage="1" sqref="C33:C34">
      <formula1>OR(NOT(ISERROR(DATEVALUE(C33))), AND(ISNUMBER(C33), LEFT(CELL("format", C33))="D"))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36"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  <tablePart r:id="rId206"/>
    <tablePart r:id="rId207"/>
    <tablePart r:id="rId208"/>
    <tablePart r:id="rId209"/>
    <tablePart r:id="rId210"/>
    <tablePart r:id="rId211"/>
    <tablePart r:id="rId212"/>
    <tablePart r:id="rId213"/>
    <tablePart r:id="rId214"/>
    <tablePart r:id="rId215"/>
    <tablePart r:id="rId216"/>
    <tablePart r:id="rId217"/>
    <tablePart r:id="rId218"/>
    <tablePart r:id="rId219"/>
    <tablePart r:id="rId220"/>
    <tablePart r:id="rId221"/>
    <tablePart r:id="rId222"/>
    <tablePart r:id="rId223"/>
    <tablePart r:id="rId224"/>
    <tablePart r:id="rId225"/>
    <tablePart r:id="rId226"/>
    <tablePart r:id="rId227"/>
    <tablePart r:id="rId228"/>
    <tablePart r:id="rId229"/>
    <tablePart r:id="rId230"/>
    <tablePart r:id="rId231"/>
    <tablePart r:id="rId232"/>
    <tablePart r:id="rId233"/>
    <tablePart r:id="rId234"/>
    <tablePart r:id="rId235"/>
    <tablePart r:id="rId236"/>
    <tablePart r:id="rId237"/>
    <tablePart r:id="rId238"/>
    <tablePart r:id="rId239"/>
    <tablePart r:id="rId240"/>
    <tablePart r:id="rId241"/>
    <tablePart r:id="rId242"/>
    <tablePart r:id="rId243"/>
    <tablePart r:id="rId244"/>
    <tablePart r:id="rId245"/>
    <tablePart r:id="rId246"/>
    <tablePart r:id="rId247"/>
    <tablePart r:id="rId248"/>
    <tablePart r:id="rId249"/>
    <tablePart r:id="rId250"/>
    <tablePart r:id="rId251"/>
    <tablePart r:id="rId252"/>
    <tablePart r:id="rId253"/>
    <tablePart r:id="rId254"/>
    <tablePart r:id="rId255"/>
    <tablePart r:id="rId256"/>
    <tablePart r:id="rId257"/>
    <tablePart r:id="rId258"/>
    <tablePart r:id="rId259"/>
    <tablePart r:id="rId260"/>
    <tablePart r:id="rId261"/>
    <tablePart r:id="rId262"/>
    <tablePart r:id="rId263"/>
    <tablePart r:id="rId264"/>
    <tablePart r:id="rId265"/>
    <tablePart r:id="rId266"/>
    <tablePart r:id="rId267"/>
    <tablePart r:id="rId268"/>
    <tablePart r:id="rId269"/>
    <tablePart r:id="rId270"/>
    <tablePart r:id="rId271"/>
    <tablePart r:id="rId272"/>
    <tablePart r:id="rId27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4.0"/>
    <col customWidth="1" min="2" max="2" width="42.63"/>
    <col customWidth="1" min="4" max="23" width="2.63"/>
    <col customWidth="1" min="24" max="24" width="7.75"/>
    <col customWidth="1" min="25" max="44" width="2.63"/>
    <col customWidth="1" min="45" max="45" width="7.13"/>
    <col customWidth="1" min="46" max="52" width="2.63"/>
    <col customWidth="1" min="53" max="53" width="7.25"/>
    <col customWidth="1" min="54" max="75" width="2.63"/>
    <col customWidth="1" min="76" max="76" width="8.25"/>
    <col customWidth="1" min="77" max="77" width="3.38"/>
    <col customWidth="1" min="78" max="94" width="2.63"/>
  </cols>
  <sheetData>
    <row r="1">
      <c r="A1" s="1" t="s">
        <v>0</v>
      </c>
      <c r="B1" s="1"/>
      <c r="C1" s="1"/>
      <c r="D1" s="2" t="s">
        <v>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 t="s">
        <v>2</v>
      </c>
      <c r="Y1" s="2" t="s">
        <v>7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4"/>
      <c r="AS1" s="5" t="s">
        <v>2</v>
      </c>
      <c r="AT1" s="2" t="s">
        <v>8</v>
      </c>
      <c r="AU1" s="3"/>
      <c r="AV1" s="3"/>
      <c r="AW1" s="3"/>
      <c r="AX1" s="3"/>
      <c r="AY1" s="3"/>
      <c r="AZ1" s="4"/>
      <c r="BA1" s="5" t="s">
        <v>2</v>
      </c>
      <c r="BB1" s="2" t="s">
        <v>9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4"/>
      <c r="BX1" s="5" t="s">
        <v>2</v>
      </c>
    </row>
    <row r="2">
      <c r="C2" s="6"/>
      <c r="D2" s="7"/>
      <c r="W2" s="8"/>
      <c r="X2" s="9">
        <f>COUNT(D4:Q4)</f>
        <v>14</v>
      </c>
      <c r="Y2" s="7"/>
      <c r="AR2" s="8"/>
      <c r="AS2" s="9">
        <f>COUNT(Y4:AR4)</f>
        <v>20</v>
      </c>
      <c r="AT2" s="7"/>
      <c r="AZ2" s="8"/>
      <c r="BA2" s="9">
        <f>COUNT(AT4:AZ4)</f>
        <v>7</v>
      </c>
      <c r="BB2" s="7"/>
      <c r="BW2" s="8"/>
      <c r="BX2" s="9">
        <f>COUNT(BB4:BQ4)</f>
        <v>16</v>
      </c>
    </row>
    <row r="3">
      <c r="C3" s="6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4"/>
      <c r="X3" s="15"/>
      <c r="Y3" s="12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4"/>
      <c r="AS3" s="15"/>
      <c r="AT3" s="12"/>
      <c r="AU3" s="13"/>
      <c r="AV3" s="13"/>
      <c r="AW3" s="13"/>
      <c r="AX3" s="13"/>
      <c r="AY3" s="13"/>
      <c r="AZ3" s="14"/>
      <c r="BA3" s="15"/>
      <c r="BB3" s="12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4"/>
      <c r="BX3" s="15"/>
    </row>
    <row r="4">
      <c r="A4" s="16" t="s">
        <v>10</v>
      </c>
      <c r="B4" s="17" t="s">
        <v>11</v>
      </c>
      <c r="C4" s="16" t="s">
        <v>14</v>
      </c>
      <c r="D4" s="18">
        <v>4.0</v>
      </c>
      <c r="E4" s="18">
        <v>5.0</v>
      </c>
      <c r="F4" s="18">
        <v>6.0</v>
      </c>
      <c r="G4" s="18">
        <v>7.0</v>
      </c>
      <c r="H4" s="18">
        <v>8.0</v>
      </c>
      <c r="I4" s="18">
        <v>11.0</v>
      </c>
      <c r="J4" s="18">
        <v>12.0</v>
      </c>
      <c r="K4" s="18">
        <v>13.0</v>
      </c>
      <c r="L4" s="18">
        <v>14.0</v>
      </c>
      <c r="M4" s="18">
        <v>15.0</v>
      </c>
      <c r="N4" s="18">
        <v>18.0</v>
      </c>
      <c r="O4" s="18">
        <v>19.0</v>
      </c>
      <c r="P4" s="18">
        <v>20.0</v>
      </c>
      <c r="Q4" s="18">
        <v>21.0</v>
      </c>
      <c r="R4" s="18">
        <v>22.0</v>
      </c>
      <c r="S4" s="18">
        <v>25.0</v>
      </c>
      <c r="T4" s="18">
        <v>26.0</v>
      </c>
      <c r="U4" s="18">
        <v>27.0</v>
      </c>
      <c r="V4" s="18">
        <v>28.0</v>
      </c>
      <c r="W4" s="18">
        <v>29.0</v>
      </c>
      <c r="X4" s="19" t="s">
        <v>13</v>
      </c>
      <c r="Y4" s="18">
        <v>1.0</v>
      </c>
      <c r="Z4" s="18">
        <v>2.0</v>
      </c>
      <c r="AA4" s="18">
        <v>3.0</v>
      </c>
      <c r="AB4" s="18">
        <v>8.0</v>
      </c>
      <c r="AC4" s="18">
        <v>9.0</v>
      </c>
      <c r="AD4" s="18">
        <v>10.0</v>
      </c>
      <c r="AE4" s="18">
        <v>11.0</v>
      </c>
      <c r="AF4" s="18">
        <v>12.0</v>
      </c>
      <c r="AG4" s="18">
        <v>15.0</v>
      </c>
      <c r="AH4" s="18">
        <v>16.0</v>
      </c>
      <c r="AI4" s="18">
        <v>17.0</v>
      </c>
      <c r="AJ4" s="18">
        <v>18.0</v>
      </c>
      <c r="AK4" s="18">
        <v>19.0</v>
      </c>
      <c r="AL4" s="18">
        <v>22.0</v>
      </c>
      <c r="AM4" s="18">
        <v>23.0</v>
      </c>
      <c r="AN4" s="18">
        <v>24.0</v>
      </c>
      <c r="AO4" s="18">
        <v>25.0</v>
      </c>
      <c r="AP4" s="18">
        <v>26.0</v>
      </c>
      <c r="AQ4" s="18">
        <v>29.0</v>
      </c>
      <c r="AR4" s="18">
        <v>30.0</v>
      </c>
      <c r="AS4" s="19" t="s">
        <v>13</v>
      </c>
      <c r="AT4" s="18">
        <v>1.0</v>
      </c>
      <c r="AU4" s="18">
        <v>2.0</v>
      </c>
      <c r="AV4" s="18">
        <v>3.0</v>
      </c>
      <c r="AW4" s="18">
        <v>28.0</v>
      </c>
      <c r="AX4" s="18">
        <v>29.0</v>
      </c>
      <c r="AY4" s="18">
        <v>30.0</v>
      </c>
      <c r="AZ4" s="18">
        <v>31.0</v>
      </c>
      <c r="BA4" s="19" t="s">
        <v>13</v>
      </c>
      <c r="BB4" s="18">
        <v>3.0</v>
      </c>
      <c r="BC4" s="18">
        <v>4.0</v>
      </c>
      <c r="BD4" s="18">
        <v>5.0</v>
      </c>
      <c r="BE4" s="18">
        <v>6.0</v>
      </c>
      <c r="BF4" s="18">
        <v>7.0</v>
      </c>
      <c r="BG4" s="18">
        <v>10.0</v>
      </c>
      <c r="BH4" s="18">
        <v>11.0</v>
      </c>
      <c r="BI4" s="18">
        <v>12.0</v>
      </c>
      <c r="BJ4" s="18">
        <v>13.0</v>
      </c>
      <c r="BK4" s="18">
        <v>14.0</v>
      </c>
      <c r="BL4" s="18">
        <v>17.0</v>
      </c>
      <c r="BM4" s="18">
        <v>18.0</v>
      </c>
      <c r="BN4" s="18">
        <v>19.0</v>
      </c>
      <c r="BO4" s="18">
        <v>20.0</v>
      </c>
      <c r="BP4" s="18">
        <v>21.0</v>
      </c>
      <c r="BQ4" s="18">
        <v>22.0</v>
      </c>
      <c r="BR4" s="18">
        <v>24.0</v>
      </c>
      <c r="BS4" s="18">
        <v>25.0</v>
      </c>
      <c r="BT4" s="18">
        <v>26.0</v>
      </c>
      <c r="BU4" s="18">
        <v>27.0</v>
      </c>
      <c r="BV4" s="18">
        <v>28.0</v>
      </c>
      <c r="BW4" s="18">
        <v>31.0</v>
      </c>
      <c r="BX4" s="19" t="s">
        <v>13</v>
      </c>
      <c r="BY4" s="205">
        <v>46266.0</v>
      </c>
      <c r="CP4" s="107" t="s">
        <v>49</v>
      </c>
    </row>
    <row r="5">
      <c r="A5" s="24">
        <v>1.0</v>
      </c>
      <c r="B5" s="25"/>
      <c r="C5" s="26"/>
      <c r="D5" s="16" t="s">
        <v>15</v>
      </c>
      <c r="E5" s="16" t="s">
        <v>15</v>
      </c>
      <c r="F5" s="16" t="s">
        <v>15</v>
      </c>
      <c r="G5" s="16" t="s">
        <v>15</v>
      </c>
      <c r="H5" s="16" t="s">
        <v>15</v>
      </c>
      <c r="I5" s="16" t="s">
        <v>15</v>
      </c>
      <c r="J5" s="16" t="s">
        <v>15</v>
      </c>
      <c r="K5" s="16" t="s">
        <v>15</v>
      </c>
      <c r="L5" s="16" t="s">
        <v>15</v>
      </c>
      <c r="M5" s="16" t="s">
        <v>15</v>
      </c>
      <c r="N5" s="16" t="s">
        <v>15</v>
      </c>
      <c r="O5" s="16" t="s">
        <v>15</v>
      </c>
      <c r="P5" s="16" t="s">
        <v>15</v>
      </c>
      <c r="Q5" s="16" t="s">
        <v>15</v>
      </c>
      <c r="R5" s="16" t="s">
        <v>15</v>
      </c>
      <c r="S5" s="39" t="s">
        <v>15</v>
      </c>
      <c r="T5" s="39" t="s">
        <v>15</v>
      </c>
      <c r="U5" s="16" t="s">
        <v>15</v>
      </c>
      <c r="V5" s="90" t="s">
        <v>15</v>
      </c>
      <c r="W5" s="90" t="s">
        <v>15</v>
      </c>
      <c r="X5" s="22">
        <f t="shared" ref="X5:X32" si="1">IFERROR(COUNTIF(D5:W5,"P")/(COUNTIF(D5:W5,"P")+COUNTIF(D5:W5,"F")), "0,00%")</f>
        <v>1</v>
      </c>
      <c r="Y5" s="90" t="s">
        <v>15</v>
      </c>
      <c r="Z5" s="39" t="s">
        <v>15</v>
      </c>
      <c r="AA5" s="16" t="s">
        <v>15</v>
      </c>
      <c r="AB5" s="154" t="s">
        <v>15</v>
      </c>
      <c r="AC5" s="154" t="s">
        <v>15</v>
      </c>
      <c r="AD5" s="154" t="s">
        <v>15</v>
      </c>
      <c r="AE5" s="154" t="s">
        <v>15</v>
      </c>
      <c r="AF5" s="154" t="s">
        <v>15</v>
      </c>
      <c r="AG5" s="154" t="s">
        <v>15</v>
      </c>
      <c r="AH5" s="154" t="s">
        <v>15</v>
      </c>
      <c r="AI5" s="154" t="s">
        <v>15</v>
      </c>
      <c r="AJ5" s="154" t="s">
        <v>15</v>
      </c>
      <c r="AK5" s="154" t="s">
        <v>15</v>
      </c>
      <c r="AL5" s="154" t="s">
        <v>15</v>
      </c>
      <c r="AM5" s="154" t="s">
        <v>15</v>
      </c>
      <c r="AN5" s="154" t="s">
        <v>16</v>
      </c>
      <c r="AO5" s="154" t="s">
        <v>15</v>
      </c>
      <c r="AP5" s="16" t="s">
        <v>15</v>
      </c>
      <c r="AQ5" s="16" t="s">
        <v>15</v>
      </c>
      <c r="AR5" s="16" t="s">
        <v>15</v>
      </c>
      <c r="AS5" s="22">
        <f t="shared" ref="AS5:AS32" si="2">IFERROR(COUNTIF(Y5:AR5,"P")/(COUNTIF(Y5:AR5,"P")+COUNTIF(Y5:AR5,"F")), "0,00%")</f>
        <v>0.95</v>
      </c>
      <c r="AT5" s="16" t="s">
        <v>15</v>
      </c>
      <c r="AU5" s="154" t="s">
        <v>15</v>
      </c>
      <c r="AV5" s="16" t="s">
        <v>15</v>
      </c>
      <c r="AW5" s="16" t="s">
        <v>15</v>
      </c>
      <c r="AX5" s="16" t="s">
        <v>15</v>
      </c>
      <c r="AY5" s="16" t="s">
        <v>15</v>
      </c>
      <c r="AZ5" s="16" t="s">
        <v>15</v>
      </c>
      <c r="BA5" s="22">
        <f t="shared" ref="BA5:BA32" si="3">IFERROR(COUNTIF(AT5:AZ5,"P")/(COUNTIF(AT5:AZ5,"P")+COUNTIF(AT5:AZ5,"F")), "0,00%")</f>
        <v>1</v>
      </c>
      <c r="BB5" s="16" t="s">
        <v>15</v>
      </c>
      <c r="BC5" s="16" t="s">
        <v>15</v>
      </c>
      <c r="BD5" s="16" t="s">
        <v>15</v>
      </c>
      <c r="BE5" s="16" t="s">
        <v>15</v>
      </c>
      <c r="BF5" s="16" t="s">
        <v>15</v>
      </c>
      <c r="BG5" s="16" t="s">
        <v>15</v>
      </c>
      <c r="BH5" s="16" t="s">
        <v>15</v>
      </c>
      <c r="BI5" s="16" t="s">
        <v>16</v>
      </c>
      <c r="BJ5" s="16" t="s">
        <v>15</v>
      </c>
      <c r="BK5" s="16" t="s">
        <v>16</v>
      </c>
      <c r="BL5" s="16" t="s">
        <v>15</v>
      </c>
      <c r="BM5" s="16" t="s">
        <v>15</v>
      </c>
      <c r="BN5" s="203" t="s">
        <v>15</v>
      </c>
      <c r="BO5" s="203" t="s">
        <v>15</v>
      </c>
      <c r="BP5" s="203" t="s">
        <v>15</v>
      </c>
      <c r="BQ5" s="203" t="s">
        <v>15</v>
      </c>
      <c r="BR5" s="203" t="s">
        <v>15</v>
      </c>
      <c r="BS5" s="203" t="s">
        <v>15</v>
      </c>
      <c r="BT5" s="203" t="s">
        <v>15</v>
      </c>
      <c r="BU5" s="16" t="s">
        <v>16</v>
      </c>
      <c r="BV5" s="203" t="s">
        <v>15</v>
      </c>
      <c r="BW5" s="203" t="s">
        <v>15</v>
      </c>
      <c r="BX5" s="22">
        <f t="shared" ref="BX5:BX32" si="4">IFERROR(COUNTIF(BB5:BW5,"P")/(COUNTIF(BB5:BW5,"P")+COUNTIF(BB5:BW5,"F")), "0,00%")</f>
        <v>0.8636363636</v>
      </c>
      <c r="BY5" s="16" t="s">
        <v>16</v>
      </c>
    </row>
    <row r="6">
      <c r="A6" s="24">
        <v>2.0</v>
      </c>
      <c r="B6" s="46"/>
      <c r="C6" s="26"/>
      <c r="D6" s="16" t="s">
        <v>15</v>
      </c>
      <c r="E6" s="16" t="s">
        <v>15</v>
      </c>
      <c r="F6" s="16" t="s">
        <v>16</v>
      </c>
      <c r="G6" s="16" t="s">
        <v>15</v>
      </c>
      <c r="H6" s="16" t="s">
        <v>15</v>
      </c>
      <c r="I6" s="16" t="s">
        <v>15</v>
      </c>
      <c r="J6" s="16" t="s">
        <v>15</v>
      </c>
      <c r="K6" s="16" t="s">
        <v>15</v>
      </c>
      <c r="L6" s="16" t="s">
        <v>15</v>
      </c>
      <c r="M6" s="16" t="s">
        <v>15</v>
      </c>
      <c r="N6" s="16" t="s">
        <v>16</v>
      </c>
      <c r="O6" s="16" t="s">
        <v>15</v>
      </c>
      <c r="P6" s="16" t="s">
        <v>15</v>
      </c>
      <c r="Q6" s="16" t="s">
        <v>16</v>
      </c>
      <c r="R6" s="16" t="s">
        <v>15</v>
      </c>
      <c r="S6" s="70" t="s">
        <v>16</v>
      </c>
      <c r="T6" s="39" t="s">
        <v>15</v>
      </c>
      <c r="U6" s="16" t="s">
        <v>15</v>
      </c>
      <c r="V6" s="90" t="s">
        <v>15</v>
      </c>
      <c r="W6" s="29" t="s">
        <v>16</v>
      </c>
      <c r="X6" s="22">
        <f t="shared" si="1"/>
        <v>0.75</v>
      </c>
      <c r="Y6" s="90" t="s">
        <v>15</v>
      </c>
      <c r="Z6" s="39" t="s">
        <v>15</v>
      </c>
      <c r="AA6" s="16" t="s">
        <v>16</v>
      </c>
      <c r="AB6" s="16" t="s">
        <v>15</v>
      </c>
      <c r="AC6" s="16" t="s">
        <v>15</v>
      </c>
      <c r="AD6" s="154" t="s">
        <v>15</v>
      </c>
      <c r="AE6" s="154" t="s">
        <v>16</v>
      </c>
      <c r="AF6" s="16" t="s">
        <v>15</v>
      </c>
      <c r="AG6" s="16" t="s">
        <v>16</v>
      </c>
      <c r="AH6" s="16" t="s">
        <v>15</v>
      </c>
      <c r="AI6" s="16" t="s">
        <v>15</v>
      </c>
      <c r="AJ6" s="16" t="s">
        <v>15</v>
      </c>
      <c r="AK6" s="154" t="s">
        <v>15</v>
      </c>
      <c r="AL6" s="154" t="s">
        <v>15</v>
      </c>
      <c r="AM6" s="154" t="s">
        <v>15</v>
      </c>
      <c r="AN6" s="154" t="s">
        <v>16</v>
      </c>
      <c r="AO6" s="154" t="s">
        <v>15</v>
      </c>
      <c r="AP6" s="16" t="s">
        <v>15</v>
      </c>
      <c r="AQ6" s="16" t="s">
        <v>15</v>
      </c>
      <c r="AR6" s="16" t="s">
        <v>16</v>
      </c>
      <c r="AS6" s="22">
        <f t="shared" si="2"/>
        <v>0.75</v>
      </c>
      <c r="AT6" s="16" t="s">
        <v>15</v>
      </c>
      <c r="AU6" s="16" t="s">
        <v>15</v>
      </c>
      <c r="AV6" s="16" t="s">
        <v>15</v>
      </c>
      <c r="AW6" s="16" t="s">
        <v>16</v>
      </c>
      <c r="AX6" s="16" t="s">
        <v>15</v>
      </c>
      <c r="AY6" s="16" t="s">
        <v>15</v>
      </c>
      <c r="AZ6" s="16" t="s">
        <v>15</v>
      </c>
      <c r="BA6" s="22">
        <f t="shared" si="3"/>
        <v>0.8571428571</v>
      </c>
      <c r="BB6" s="16" t="s">
        <v>15</v>
      </c>
      <c r="BC6" s="16" t="s">
        <v>15</v>
      </c>
      <c r="BD6" s="16" t="s">
        <v>15</v>
      </c>
      <c r="BE6" s="16" t="s">
        <v>15</v>
      </c>
      <c r="BF6" s="16" t="s">
        <v>15</v>
      </c>
      <c r="BG6" s="16" t="s">
        <v>16</v>
      </c>
      <c r="BH6" s="16" t="s">
        <v>15</v>
      </c>
      <c r="BI6" s="16" t="s">
        <v>15</v>
      </c>
      <c r="BJ6" s="16" t="s">
        <v>15</v>
      </c>
      <c r="BK6" s="16" t="s">
        <v>16</v>
      </c>
      <c r="BL6" s="16" t="s">
        <v>15</v>
      </c>
      <c r="BM6" s="16" t="s">
        <v>15</v>
      </c>
      <c r="BN6" s="21" t="s">
        <v>15</v>
      </c>
      <c r="BO6" s="203" t="s">
        <v>15</v>
      </c>
      <c r="BP6" s="203" t="s">
        <v>15</v>
      </c>
      <c r="BQ6" s="203" t="s">
        <v>15</v>
      </c>
      <c r="BR6" s="203" t="s">
        <v>16</v>
      </c>
      <c r="BS6" s="203" t="s">
        <v>15</v>
      </c>
      <c r="BT6" s="203" t="s">
        <v>15</v>
      </c>
      <c r="BU6" s="16" t="s">
        <v>16</v>
      </c>
      <c r="BV6" s="16" t="s">
        <v>16</v>
      </c>
      <c r="BW6" s="16" t="s">
        <v>16</v>
      </c>
      <c r="BX6" s="22">
        <f t="shared" si="4"/>
        <v>0.7272727273</v>
      </c>
      <c r="BY6" s="16" t="s">
        <v>15</v>
      </c>
    </row>
    <row r="7">
      <c r="A7" s="24">
        <v>3.0</v>
      </c>
      <c r="B7" s="62"/>
      <c r="C7" s="58"/>
      <c r="D7" s="16" t="s">
        <v>15</v>
      </c>
      <c r="E7" s="16" t="s">
        <v>15</v>
      </c>
      <c r="F7" s="16" t="s">
        <v>16</v>
      </c>
      <c r="G7" s="16" t="s">
        <v>15</v>
      </c>
      <c r="H7" s="16" t="s">
        <v>15</v>
      </c>
      <c r="I7" s="16" t="s">
        <v>15</v>
      </c>
      <c r="J7" s="16" t="s">
        <v>15</v>
      </c>
      <c r="K7" s="16" t="s">
        <v>15</v>
      </c>
      <c r="L7" s="16" t="s">
        <v>15</v>
      </c>
      <c r="M7" s="16" t="s">
        <v>15</v>
      </c>
      <c r="N7" s="16" t="s">
        <v>15</v>
      </c>
      <c r="O7" s="16" t="s">
        <v>15</v>
      </c>
      <c r="P7" s="16" t="s">
        <v>15</v>
      </c>
      <c r="Q7" s="16" t="s">
        <v>16</v>
      </c>
      <c r="R7" s="16" t="s">
        <v>15</v>
      </c>
      <c r="S7" s="39" t="s">
        <v>15</v>
      </c>
      <c r="T7" s="39" t="s">
        <v>15</v>
      </c>
      <c r="U7" s="16" t="s">
        <v>15</v>
      </c>
      <c r="V7" s="90" t="s">
        <v>15</v>
      </c>
      <c r="W7" s="90" t="s">
        <v>15</v>
      </c>
      <c r="X7" s="22">
        <f t="shared" si="1"/>
        <v>0.9</v>
      </c>
      <c r="Y7" s="90" t="s">
        <v>15</v>
      </c>
      <c r="Z7" s="39" t="s">
        <v>15</v>
      </c>
      <c r="AA7" s="16" t="s">
        <v>15</v>
      </c>
      <c r="AB7" s="154" t="s">
        <v>16</v>
      </c>
      <c r="AC7" s="154" t="s">
        <v>15</v>
      </c>
      <c r="AD7" s="154" t="s">
        <v>15</v>
      </c>
      <c r="AE7" s="154" t="s">
        <v>15</v>
      </c>
      <c r="AF7" s="154" t="s">
        <v>15</v>
      </c>
      <c r="AG7" s="154" t="s">
        <v>15</v>
      </c>
      <c r="AH7" s="154" t="s">
        <v>15</v>
      </c>
      <c r="AI7" s="154" t="s">
        <v>15</v>
      </c>
      <c r="AJ7" s="154" t="s">
        <v>15</v>
      </c>
      <c r="AK7" s="154" t="s">
        <v>15</v>
      </c>
      <c r="AL7" s="154" t="s">
        <v>16</v>
      </c>
      <c r="AM7" s="154" t="s">
        <v>16</v>
      </c>
      <c r="AN7" s="154" t="s">
        <v>16</v>
      </c>
      <c r="AO7" s="154" t="s">
        <v>15</v>
      </c>
      <c r="AP7" s="16" t="s">
        <v>15</v>
      </c>
      <c r="AQ7" s="16" t="s">
        <v>15</v>
      </c>
      <c r="AR7" s="16" t="s">
        <v>15</v>
      </c>
      <c r="AS7" s="22">
        <f t="shared" si="2"/>
        <v>0.8</v>
      </c>
      <c r="AT7" s="16" t="s">
        <v>15</v>
      </c>
      <c r="AU7" s="154" t="s">
        <v>15</v>
      </c>
      <c r="AV7" s="16" t="s">
        <v>15</v>
      </c>
      <c r="AW7" s="16" t="s">
        <v>15</v>
      </c>
      <c r="AX7" s="16" t="s">
        <v>15</v>
      </c>
      <c r="AY7" s="16" t="s">
        <v>15</v>
      </c>
      <c r="AZ7" s="16" t="s">
        <v>16</v>
      </c>
      <c r="BA7" s="22">
        <f t="shared" si="3"/>
        <v>0.8571428571</v>
      </c>
      <c r="BB7" s="16" t="s">
        <v>15</v>
      </c>
      <c r="BC7" s="16" t="s">
        <v>15</v>
      </c>
      <c r="BD7" s="16" t="s">
        <v>15</v>
      </c>
      <c r="BE7" s="16" t="s">
        <v>15</v>
      </c>
      <c r="BF7" s="16" t="s">
        <v>15</v>
      </c>
      <c r="BG7" s="16" t="s">
        <v>16</v>
      </c>
      <c r="BH7" s="16" t="s">
        <v>15</v>
      </c>
      <c r="BI7" s="16" t="s">
        <v>15</v>
      </c>
      <c r="BJ7" s="16" t="s">
        <v>15</v>
      </c>
      <c r="BK7" s="16" t="s">
        <v>15</v>
      </c>
      <c r="BL7" s="16" t="s">
        <v>15</v>
      </c>
      <c r="BM7" s="16" t="s">
        <v>15</v>
      </c>
      <c r="BN7" s="21" t="s">
        <v>15</v>
      </c>
      <c r="BO7" s="203" t="s">
        <v>15</v>
      </c>
      <c r="BP7" s="203" t="s">
        <v>15</v>
      </c>
      <c r="BQ7" s="203" t="s">
        <v>15</v>
      </c>
      <c r="BR7" s="203" t="s">
        <v>15</v>
      </c>
      <c r="BS7" s="203" t="s">
        <v>15</v>
      </c>
      <c r="BT7" s="203" t="s">
        <v>15</v>
      </c>
      <c r="BU7" s="203" t="s">
        <v>15</v>
      </c>
      <c r="BV7" s="203" t="s">
        <v>15</v>
      </c>
      <c r="BW7" s="203" t="s">
        <v>15</v>
      </c>
      <c r="BX7" s="22">
        <f t="shared" si="4"/>
        <v>0.9545454545</v>
      </c>
      <c r="BY7" s="203" t="s">
        <v>15</v>
      </c>
    </row>
    <row r="8">
      <c r="A8" s="24">
        <v>4.0</v>
      </c>
      <c r="B8" s="81"/>
      <c r="C8" s="58"/>
      <c r="D8" s="16" t="s">
        <v>15</v>
      </c>
      <c r="E8" s="16" t="s">
        <v>15</v>
      </c>
      <c r="F8" s="16" t="s">
        <v>15</v>
      </c>
      <c r="G8" s="16" t="s">
        <v>15</v>
      </c>
      <c r="H8" s="16" t="s">
        <v>16</v>
      </c>
      <c r="I8" s="16" t="s">
        <v>15</v>
      </c>
      <c r="J8" s="16" t="s">
        <v>15</v>
      </c>
      <c r="K8" s="16" t="s">
        <v>15</v>
      </c>
      <c r="L8" s="16" t="s">
        <v>15</v>
      </c>
      <c r="M8" s="16" t="s">
        <v>15</v>
      </c>
      <c r="N8" s="16" t="s">
        <v>15</v>
      </c>
      <c r="O8" s="16" t="s">
        <v>15</v>
      </c>
      <c r="P8" s="16" t="s">
        <v>16</v>
      </c>
      <c r="Q8" s="16" t="s">
        <v>15</v>
      </c>
      <c r="R8" s="16" t="s">
        <v>15</v>
      </c>
      <c r="S8" s="39" t="s">
        <v>15</v>
      </c>
      <c r="T8" s="39" t="s">
        <v>15</v>
      </c>
      <c r="U8" s="16" t="s">
        <v>16</v>
      </c>
      <c r="V8" s="90" t="s">
        <v>15</v>
      </c>
      <c r="W8" s="90" t="s">
        <v>15</v>
      </c>
      <c r="X8" s="22">
        <f t="shared" si="1"/>
        <v>0.85</v>
      </c>
      <c r="Y8" s="90" t="s">
        <v>15</v>
      </c>
      <c r="Z8" s="39" t="s">
        <v>15</v>
      </c>
      <c r="AA8" s="16" t="s">
        <v>16</v>
      </c>
      <c r="AB8" s="154" t="s">
        <v>15</v>
      </c>
      <c r="AC8" s="154" t="s">
        <v>15</v>
      </c>
      <c r="AD8" s="154" t="s">
        <v>15</v>
      </c>
      <c r="AE8" s="154" t="s">
        <v>16</v>
      </c>
      <c r="AF8" s="154" t="s">
        <v>15</v>
      </c>
      <c r="AG8" s="154" t="s">
        <v>16</v>
      </c>
      <c r="AH8" s="154" t="s">
        <v>15</v>
      </c>
      <c r="AI8" s="154" t="s">
        <v>15</v>
      </c>
      <c r="AJ8" s="154" t="s">
        <v>15</v>
      </c>
      <c r="AK8" s="154" t="s">
        <v>15</v>
      </c>
      <c r="AL8" s="154" t="s">
        <v>15</v>
      </c>
      <c r="AM8" s="154" t="s">
        <v>15</v>
      </c>
      <c r="AN8" s="154" t="s">
        <v>16</v>
      </c>
      <c r="AO8" s="154" t="s">
        <v>15</v>
      </c>
      <c r="AP8" s="16" t="s">
        <v>15</v>
      </c>
      <c r="AQ8" s="16" t="s">
        <v>16</v>
      </c>
      <c r="AR8" s="16" t="s">
        <v>15</v>
      </c>
      <c r="AS8" s="22">
        <f t="shared" si="2"/>
        <v>0.75</v>
      </c>
      <c r="AT8" s="16" t="s">
        <v>15</v>
      </c>
      <c r="AU8" s="154" t="s">
        <v>15</v>
      </c>
      <c r="AV8" s="16" t="s">
        <v>15</v>
      </c>
      <c r="AW8" s="16" t="s">
        <v>15</v>
      </c>
      <c r="AX8" s="16" t="s">
        <v>15</v>
      </c>
      <c r="AY8" s="16" t="s">
        <v>16</v>
      </c>
      <c r="AZ8" s="16" t="s">
        <v>15</v>
      </c>
      <c r="BA8" s="22">
        <f t="shared" si="3"/>
        <v>0.8571428571</v>
      </c>
      <c r="BB8" s="16" t="s">
        <v>15</v>
      </c>
      <c r="BC8" s="16" t="s">
        <v>15</v>
      </c>
      <c r="BD8" s="16" t="s">
        <v>15</v>
      </c>
      <c r="BE8" s="16" t="s">
        <v>16</v>
      </c>
      <c r="BF8" s="16" t="s">
        <v>15</v>
      </c>
      <c r="BG8" s="16" t="s">
        <v>16</v>
      </c>
      <c r="BH8" s="16" t="s">
        <v>15</v>
      </c>
      <c r="BI8" s="16" t="s">
        <v>16</v>
      </c>
      <c r="BJ8" s="16" t="s">
        <v>15</v>
      </c>
      <c r="BK8" s="16" t="s">
        <v>15</v>
      </c>
      <c r="BL8" s="16" t="s">
        <v>16</v>
      </c>
      <c r="BM8" s="16" t="s">
        <v>16</v>
      </c>
      <c r="BN8" s="16" t="s">
        <v>15</v>
      </c>
      <c r="BO8" s="203" t="s">
        <v>15</v>
      </c>
      <c r="BP8" s="203" t="s">
        <v>16</v>
      </c>
      <c r="BQ8" s="203" t="s">
        <v>15</v>
      </c>
      <c r="BR8" s="203" t="s">
        <v>15</v>
      </c>
      <c r="BS8" s="203" t="s">
        <v>15</v>
      </c>
      <c r="BT8" s="203" t="s">
        <v>15</v>
      </c>
      <c r="BU8" s="16" t="s">
        <v>16</v>
      </c>
      <c r="BV8" s="203" t="s">
        <v>15</v>
      </c>
      <c r="BW8" s="203" t="s">
        <v>15</v>
      </c>
      <c r="BX8" s="22">
        <f t="shared" si="4"/>
        <v>0.6818181818</v>
      </c>
      <c r="BY8" s="16" t="s">
        <v>15</v>
      </c>
    </row>
    <row r="9">
      <c r="A9" s="24">
        <v>5.0</v>
      </c>
      <c r="B9" s="62"/>
      <c r="C9" s="58"/>
      <c r="D9" s="16" t="s">
        <v>15</v>
      </c>
      <c r="E9" s="16" t="s">
        <v>15</v>
      </c>
      <c r="F9" s="16" t="s">
        <v>15</v>
      </c>
      <c r="G9" s="16" t="s">
        <v>15</v>
      </c>
      <c r="H9" s="16" t="s">
        <v>15</v>
      </c>
      <c r="I9" s="16" t="s">
        <v>16</v>
      </c>
      <c r="J9" s="16" t="s">
        <v>15</v>
      </c>
      <c r="K9" s="16" t="s">
        <v>15</v>
      </c>
      <c r="L9" s="16" t="s">
        <v>15</v>
      </c>
      <c r="M9" s="16" t="s">
        <v>15</v>
      </c>
      <c r="N9" s="16" t="s">
        <v>15</v>
      </c>
      <c r="O9" s="16" t="s">
        <v>15</v>
      </c>
      <c r="P9" s="16" t="s">
        <v>15</v>
      </c>
      <c r="Q9" s="16" t="s">
        <v>15</v>
      </c>
      <c r="R9" s="16" t="s">
        <v>16</v>
      </c>
      <c r="S9" s="39" t="s">
        <v>15</v>
      </c>
      <c r="T9" s="39" t="s">
        <v>15</v>
      </c>
      <c r="U9" s="16" t="s">
        <v>15</v>
      </c>
      <c r="V9" s="90" t="s">
        <v>15</v>
      </c>
      <c r="W9" s="90" t="s">
        <v>15</v>
      </c>
      <c r="X9" s="22">
        <f t="shared" si="1"/>
        <v>0.9</v>
      </c>
      <c r="Y9" s="90" t="s">
        <v>15</v>
      </c>
      <c r="Z9" s="39" t="s">
        <v>15</v>
      </c>
      <c r="AA9" s="16" t="s">
        <v>15</v>
      </c>
      <c r="AB9" s="154" t="s">
        <v>15</v>
      </c>
      <c r="AC9" s="154" t="s">
        <v>15</v>
      </c>
      <c r="AD9" s="154" t="s">
        <v>15</v>
      </c>
      <c r="AE9" s="154" t="s">
        <v>16</v>
      </c>
      <c r="AF9" s="154" t="s">
        <v>15</v>
      </c>
      <c r="AG9" s="154" t="s">
        <v>16</v>
      </c>
      <c r="AH9" s="154" t="s">
        <v>15</v>
      </c>
      <c r="AI9" s="154" t="s">
        <v>15</v>
      </c>
      <c r="AJ9" s="154" t="s">
        <v>15</v>
      </c>
      <c r="AK9" s="154" t="s">
        <v>15</v>
      </c>
      <c r="AL9" s="154" t="s">
        <v>16</v>
      </c>
      <c r="AM9" s="154" t="s">
        <v>15</v>
      </c>
      <c r="AN9" s="154" t="s">
        <v>15</v>
      </c>
      <c r="AO9" s="154" t="s">
        <v>15</v>
      </c>
      <c r="AP9" s="16" t="s">
        <v>16</v>
      </c>
      <c r="AQ9" s="16" t="s">
        <v>15</v>
      </c>
      <c r="AR9" s="16" t="s">
        <v>15</v>
      </c>
      <c r="AS9" s="22">
        <f t="shared" si="2"/>
        <v>0.8</v>
      </c>
      <c r="AT9" s="16" t="s">
        <v>15</v>
      </c>
      <c r="AU9" s="154" t="s">
        <v>15</v>
      </c>
      <c r="AV9" s="16" t="s">
        <v>15</v>
      </c>
      <c r="AW9" s="16" t="s">
        <v>16</v>
      </c>
      <c r="AX9" s="16" t="s">
        <v>16</v>
      </c>
      <c r="AY9" s="16" t="s">
        <v>16</v>
      </c>
      <c r="AZ9" s="16" t="s">
        <v>16</v>
      </c>
      <c r="BA9" s="22">
        <f t="shared" si="3"/>
        <v>0.4285714286</v>
      </c>
      <c r="BB9" s="16" t="s">
        <v>15</v>
      </c>
      <c r="BC9" s="16" t="s">
        <v>16</v>
      </c>
      <c r="BD9" s="16" t="s">
        <v>16</v>
      </c>
      <c r="BE9" s="16" t="s">
        <v>15</v>
      </c>
      <c r="BF9" s="16" t="s">
        <v>15</v>
      </c>
      <c r="BG9" s="16" t="s">
        <v>15</v>
      </c>
      <c r="BH9" s="16" t="s">
        <v>15</v>
      </c>
      <c r="BI9" s="16" t="s">
        <v>15</v>
      </c>
      <c r="BJ9" s="16" t="s">
        <v>16</v>
      </c>
      <c r="BK9" s="16" t="s">
        <v>16</v>
      </c>
      <c r="BL9" s="16" t="s">
        <v>15</v>
      </c>
      <c r="BM9" s="16" t="s">
        <v>15</v>
      </c>
      <c r="BN9" s="21" t="s">
        <v>15</v>
      </c>
      <c r="BO9" s="203" t="s">
        <v>15</v>
      </c>
      <c r="BP9" s="203" t="s">
        <v>16</v>
      </c>
      <c r="BQ9" s="203" t="s">
        <v>15</v>
      </c>
      <c r="BR9" s="203" t="s">
        <v>16</v>
      </c>
      <c r="BS9" s="203" t="s">
        <v>15</v>
      </c>
      <c r="BT9" s="203" t="s">
        <v>15</v>
      </c>
      <c r="BU9" s="16" t="s">
        <v>16</v>
      </c>
      <c r="BV9" s="203" t="s">
        <v>15</v>
      </c>
      <c r="BW9" s="203" t="s">
        <v>16</v>
      </c>
      <c r="BX9" s="22">
        <f t="shared" si="4"/>
        <v>0.6363636364</v>
      </c>
      <c r="BY9" s="16" t="s">
        <v>16</v>
      </c>
    </row>
    <row r="10">
      <c r="A10" s="24">
        <v>6.0</v>
      </c>
      <c r="B10" s="81"/>
      <c r="C10" s="58"/>
      <c r="D10" s="16" t="s">
        <v>15</v>
      </c>
      <c r="E10" s="16" t="s">
        <v>15</v>
      </c>
      <c r="F10" s="16" t="s">
        <v>15</v>
      </c>
      <c r="G10" s="16" t="s">
        <v>16</v>
      </c>
      <c r="H10" s="16" t="s">
        <v>15</v>
      </c>
      <c r="I10" s="16" t="s">
        <v>15</v>
      </c>
      <c r="J10" s="16" t="s">
        <v>15</v>
      </c>
      <c r="K10" s="16" t="s">
        <v>15</v>
      </c>
      <c r="L10" s="16" t="s">
        <v>15</v>
      </c>
      <c r="M10" s="16" t="s">
        <v>15</v>
      </c>
      <c r="N10" s="16" t="s">
        <v>15</v>
      </c>
      <c r="O10" s="16" t="s">
        <v>15</v>
      </c>
      <c r="P10" s="16" t="s">
        <v>15</v>
      </c>
      <c r="Q10" s="16" t="s">
        <v>15</v>
      </c>
      <c r="R10" s="16" t="s">
        <v>15</v>
      </c>
      <c r="S10" s="39" t="s">
        <v>15</v>
      </c>
      <c r="T10" s="29" t="s">
        <v>16</v>
      </c>
      <c r="U10" s="16" t="s">
        <v>15</v>
      </c>
      <c r="V10" s="90" t="s">
        <v>15</v>
      </c>
      <c r="W10" s="90" t="s">
        <v>16</v>
      </c>
      <c r="X10" s="22">
        <f t="shared" si="1"/>
        <v>0.85</v>
      </c>
      <c r="Y10" s="90" t="s">
        <v>15</v>
      </c>
      <c r="Z10" s="39" t="s">
        <v>15</v>
      </c>
      <c r="AA10" s="16" t="s">
        <v>16</v>
      </c>
      <c r="AB10" s="154" t="s">
        <v>15</v>
      </c>
      <c r="AC10" s="154" t="s">
        <v>15</v>
      </c>
      <c r="AD10" s="154" t="s">
        <v>15</v>
      </c>
      <c r="AE10" s="154" t="s">
        <v>15</v>
      </c>
      <c r="AF10" s="154" t="s">
        <v>15</v>
      </c>
      <c r="AG10" s="154" t="s">
        <v>15</v>
      </c>
      <c r="AH10" s="154" t="s">
        <v>15</v>
      </c>
      <c r="AI10" s="154" t="s">
        <v>15</v>
      </c>
      <c r="AJ10" s="154" t="s">
        <v>15</v>
      </c>
      <c r="AK10" s="154" t="s">
        <v>15</v>
      </c>
      <c r="AL10" s="154" t="s">
        <v>16</v>
      </c>
      <c r="AM10" s="154" t="s">
        <v>15</v>
      </c>
      <c r="AN10" s="154" t="s">
        <v>15</v>
      </c>
      <c r="AO10" s="154" t="s">
        <v>16</v>
      </c>
      <c r="AP10" s="16" t="s">
        <v>16</v>
      </c>
      <c r="AQ10" s="16" t="s">
        <v>15</v>
      </c>
      <c r="AR10" s="16" t="s">
        <v>15</v>
      </c>
      <c r="AS10" s="22">
        <f t="shared" si="2"/>
        <v>0.8</v>
      </c>
      <c r="AT10" s="16" t="s">
        <v>16</v>
      </c>
      <c r="AU10" s="154" t="s">
        <v>16</v>
      </c>
      <c r="AV10" s="16" t="s">
        <v>15</v>
      </c>
      <c r="AW10" s="16" t="s">
        <v>15</v>
      </c>
      <c r="AX10" s="16" t="s">
        <v>15</v>
      </c>
      <c r="AY10" s="16" t="s">
        <v>15</v>
      </c>
      <c r="AZ10" s="16" t="s">
        <v>15</v>
      </c>
      <c r="BA10" s="22">
        <f t="shared" si="3"/>
        <v>0.7142857143</v>
      </c>
      <c r="BB10" s="16" t="s">
        <v>15</v>
      </c>
      <c r="BC10" s="16" t="s">
        <v>15</v>
      </c>
      <c r="BD10" s="16" t="s">
        <v>15</v>
      </c>
      <c r="BE10" s="16" t="s">
        <v>15</v>
      </c>
      <c r="BF10" s="16" t="s">
        <v>15</v>
      </c>
      <c r="BG10" s="16" t="s">
        <v>16</v>
      </c>
      <c r="BH10" s="16" t="s">
        <v>15</v>
      </c>
      <c r="BI10" s="16" t="s">
        <v>15</v>
      </c>
      <c r="BJ10" s="16" t="s">
        <v>15</v>
      </c>
      <c r="BK10" s="16" t="s">
        <v>15</v>
      </c>
      <c r="BL10" s="16" t="s">
        <v>16</v>
      </c>
      <c r="BM10" s="16" t="s">
        <v>15</v>
      </c>
      <c r="BN10" s="16" t="s">
        <v>16</v>
      </c>
      <c r="BO10" s="203" t="s">
        <v>15</v>
      </c>
      <c r="BP10" s="203" t="s">
        <v>16</v>
      </c>
      <c r="BQ10" s="203" t="s">
        <v>15</v>
      </c>
      <c r="BR10" s="203" t="s">
        <v>15</v>
      </c>
      <c r="BS10" s="203" t="s">
        <v>15</v>
      </c>
      <c r="BT10" s="203" t="s">
        <v>15</v>
      </c>
      <c r="BU10" s="16" t="s">
        <v>16</v>
      </c>
      <c r="BV10" s="203" t="s">
        <v>15</v>
      </c>
      <c r="BW10" s="203" t="s">
        <v>16</v>
      </c>
      <c r="BX10" s="22">
        <f t="shared" si="4"/>
        <v>0.7272727273</v>
      </c>
      <c r="BY10" s="16" t="s">
        <v>15</v>
      </c>
    </row>
    <row r="11">
      <c r="A11" s="24">
        <v>7.0</v>
      </c>
      <c r="B11" s="62"/>
      <c r="C11" s="58"/>
      <c r="D11" s="16" t="s">
        <v>15</v>
      </c>
      <c r="E11" s="16" t="s">
        <v>15</v>
      </c>
      <c r="F11" s="16" t="s">
        <v>15</v>
      </c>
      <c r="G11" s="16" t="s">
        <v>15</v>
      </c>
      <c r="H11" s="16" t="s">
        <v>16</v>
      </c>
      <c r="I11" s="16" t="s">
        <v>15</v>
      </c>
      <c r="J11" s="16" t="s">
        <v>15</v>
      </c>
      <c r="K11" s="16" t="s">
        <v>15</v>
      </c>
      <c r="L11" s="16" t="s">
        <v>15</v>
      </c>
      <c r="M11" s="16" t="s">
        <v>15</v>
      </c>
      <c r="N11" s="16" t="s">
        <v>15</v>
      </c>
      <c r="O11" s="16" t="s">
        <v>16</v>
      </c>
      <c r="P11" s="16" t="s">
        <v>16</v>
      </c>
      <c r="Q11" s="16" t="s">
        <v>16</v>
      </c>
      <c r="R11" s="16" t="s">
        <v>16</v>
      </c>
      <c r="S11" s="39" t="s">
        <v>15</v>
      </c>
      <c r="T11" s="39" t="s">
        <v>15</v>
      </c>
      <c r="U11" s="16" t="s">
        <v>16</v>
      </c>
      <c r="V11" s="90" t="s">
        <v>15</v>
      </c>
      <c r="W11" s="90" t="s">
        <v>15</v>
      </c>
      <c r="X11" s="22">
        <f t="shared" si="1"/>
        <v>0.7</v>
      </c>
      <c r="Y11" s="29" t="s">
        <v>16</v>
      </c>
      <c r="Z11" s="39" t="s">
        <v>15</v>
      </c>
      <c r="AA11" s="16" t="s">
        <v>15</v>
      </c>
      <c r="AB11" s="154" t="s">
        <v>16</v>
      </c>
      <c r="AC11" s="154" t="s">
        <v>15</v>
      </c>
      <c r="AD11" s="154" t="s">
        <v>15</v>
      </c>
      <c r="AE11" s="154" t="s">
        <v>15</v>
      </c>
      <c r="AF11" s="154" t="s">
        <v>16</v>
      </c>
      <c r="AG11" s="154" t="s">
        <v>15</v>
      </c>
      <c r="AH11" s="154" t="s">
        <v>15</v>
      </c>
      <c r="AI11" s="154" t="s">
        <v>15</v>
      </c>
      <c r="AJ11" s="154" t="s">
        <v>15</v>
      </c>
      <c r="AK11" s="154" t="s">
        <v>15</v>
      </c>
      <c r="AL11" s="154" t="s">
        <v>15</v>
      </c>
      <c r="AM11" s="154" t="s">
        <v>16</v>
      </c>
      <c r="AN11" s="154" t="s">
        <v>16</v>
      </c>
      <c r="AO11" s="154" t="s">
        <v>16</v>
      </c>
      <c r="AP11" s="16" t="s">
        <v>15</v>
      </c>
      <c r="AQ11" s="16" t="s">
        <v>16</v>
      </c>
      <c r="AR11" s="16" t="s">
        <v>15</v>
      </c>
      <c r="AS11" s="22">
        <f t="shared" si="2"/>
        <v>0.65</v>
      </c>
      <c r="AT11" s="16" t="s">
        <v>16</v>
      </c>
      <c r="AU11" s="154" t="s">
        <v>16</v>
      </c>
      <c r="AV11" s="16" t="s">
        <v>15</v>
      </c>
      <c r="AW11" s="16" t="s">
        <v>15</v>
      </c>
      <c r="AX11" s="16" t="s">
        <v>15</v>
      </c>
      <c r="AY11" s="16" t="s">
        <v>15</v>
      </c>
      <c r="AZ11" s="16" t="s">
        <v>15</v>
      </c>
      <c r="BA11" s="22">
        <f t="shared" si="3"/>
        <v>0.7142857143</v>
      </c>
      <c r="BB11" s="16" t="s">
        <v>15</v>
      </c>
      <c r="BC11" s="16" t="s">
        <v>15</v>
      </c>
      <c r="BD11" s="16" t="s">
        <v>16</v>
      </c>
      <c r="BE11" s="16" t="s">
        <v>15</v>
      </c>
      <c r="BF11" s="16" t="s">
        <v>15</v>
      </c>
      <c r="BG11" s="16" t="s">
        <v>15</v>
      </c>
      <c r="BH11" s="16" t="s">
        <v>16</v>
      </c>
      <c r="BI11" s="16" t="s">
        <v>15</v>
      </c>
      <c r="BJ11" s="16" t="s">
        <v>15</v>
      </c>
      <c r="BK11" s="16" t="s">
        <v>15</v>
      </c>
      <c r="BL11" s="16" t="s">
        <v>16</v>
      </c>
      <c r="BM11" s="16" t="s">
        <v>15</v>
      </c>
      <c r="BN11" s="203" t="s">
        <v>15</v>
      </c>
      <c r="BO11" s="203" t="s">
        <v>15</v>
      </c>
      <c r="BP11" s="203" t="s">
        <v>15</v>
      </c>
      <c r="BQ11" s="203" t="s">
        <v>15</v>
      </c>
      <c r="BR11" s="203" t="s">
        <v>15</v>
      </c>
      <c r="BS11" s="203" t="s">
        <v>15</v>
      </c>
      <c r="BT11" s="203" t="s">
        <v>15</v>
      </c>
      <c r="BU11" s="16" t="s">
        <v>16</v>
      </c>
      <c r="BV11" s="16" t="s">
        <v>16</v>
      </c>
      <c r="BW11" s="16" t="s">
        <v>15</v>
      </c>
      <c r="BX11" s="22">
        <f t="shared" si="4"/>
        <v>0.7727272727</v>
      </c>
      <c r="BY11" s="16" t="s">
        <v>16</v>
      </c>
    </row>
    <row r="12">
      <c r="A12" s="24">
        <v>8.0</v>
      </c>
      <c r="B12" s="211"/>
      <c r="C12" s="213" t="s">
        <v>17</v>
      </c>
      <c r="D12" s="16" t="s">
        <v>15</v>
      </c>
      <c r="E12" s="16" t="s">
        <v>15</v>
      </c>
      <c r="F12" s="16" t="s">
        <v>15</v>
      </c>
      <c r="G12" s="16" t="s">
        <v>15</v>
      </c>
      <c r="H12" s="16" t="s">
        <v>16</v>
      </c>
      <c r="I12" s="16" t="s">
        <v>16</v>
      </c>
      <c r="J12" s="16" t="s">
        <v>15</v>
      </c>
      <c r="K12" s="16" t="s">
        <v>15</v>
      </c>
      <c r="L12" s="154" t="s">
        <v>16</v>
      </c>
      <c r="M12" s="16" t="s">
        <v>16</v>
      </c>
      <c r="N12" s="16" t="s">
        <v>16</v>
      </c>
      <c r="O12" s="16" t="s">
        <v>15</v>
      </c>
      <c r="P12" s="16" t="s">
        <v>15</v>
      </c>
      <c r="Q12" s="16" t="s">
        <v>16</v>
      </c>
      <c r="R12" s="16" t="s">
        <v>16</v>
      </c>
      <c r="S12" s="39" t="s">
        <v>15</v>
      </c>
      <c r="T12" s="29" t="s">
        <v>16</v>
      </c>
      <c r="U12" s="16" t="s">
        <v>16</v>
      </c>
      <c r="V12" s="90" t="s">
        <v>15</v>
      </c>
      <c r="W12" s="90" t="s">
        <v>16</v>
      </c>
      <c r="X12" s="22">
        <f t="shared" si="1"/>
        <v>0.5</v>
      </c>
      <c r="Y12" s="214"/>
      <c r="Z12" s="32"/>
      <c r="AA12" s="32"/>
      <c r="AB12" s="32"/>
      <c r="AC12" s="32" t="s">
        <v>18</v>
      </c>
      <c r="AD12" s="32"/>
      <c r="AE12" s="32"/>
      <c r="AF12" s="32"/>
      <c r="AG12" s="32"/>
      <c r="AH12" s="32"/>
      <c r="AI12" s="32"/>
      <c r="AJ12" s="32"/>
      <c r="AK12" s="32"/>
      <c r="AL12" s="32"/>
      <c r="AM12" s="32" t="s">
        <v>18</v>
      </c>
      <c r="AN12" s="32" t="s">
        <v>18</v>
      </c>
      <c r="AO12" s="32"/>
      <c r="AP12" s="32"/>
      <c r="AQ12" s="32"/>
      <c r="AR12" s="32" t="s">
        <v>18</v>
      </c>
      <c r="AS12" s="22" t="str">
        <f t="shared" si="2"/>
        <v>0,00%</v>
      </c>
      <c r="AT12" s="32"/>
      <c r="AU12" s="32"/>
      <c r="AV12" s="32"/>
      <c r="AW12" s="32"/>
      <c r="AX12" s="32"/>
      <c r="AY12" s="32"/>
      <c r="AZ12" s="32"/>
      <c r="BA12" s="22" t="str">
        <f t="shared" si="3"/>
        <v>0,00%</v>
      </c>
      <c r="BB12" s="32" t="s">
        <v>18</v>
      </c>
      <c r="BC12" s="32" t="s">
        <v>18</v>
      </c>
      <c r="BD12" s="32" t="s">
        <v>18</v>
      </c>
      <c r="BE12" s="32" t="s">
        <v>18</v>
      </c>
      <c r="BF12" s="32"/>
      <c r="BG12" s="32" t="s">
        <v>18</v>
      </c>
      <c r="BH12" s="32" t="s">
        <v>18</v>
      </c>
      <c r="BI12" s="32"/>
      <c r="BJ12" s="32"/>
      <c r="BK12" s="32"/>
      <c r="BL12" s="32" t="s">
        <v>18</v>
      </c>
      <c r="BM12" s="32" t="s">
        <v>18</v>
      </c>
      <c r="BN12" s="32" t="s">
        <v>18</v>
      </c>
      <c r="BO12" s="32"/>
      <c r="BP12" s="32" t="s">
        <v>18</v>
      </c>
      <c r="BQ12" s="32"/>
      <c r="BR12" s="32" t="s">
        <v>18</v>
      </c>
      <c r="BS12" s="32"/>
      <c r="BT12" s="32"/>
      <c r="BU12" s="32"/>
      <c r="BV12" s="32"/>
      <c r="BW12" s="32" t="s">
        <v>18</v>
      </c>
      <c r="BX12" s="22" t="str">
        <f t="shared" si="4"/>
        <v>0,00%</v>
      </c>
      <c r="BY12" s="32"/>
    </row>
    <row r="13">
      <c r="A13" s="24">
        <v>9.0</v>
      </c>
      <c r="B13" s="62"/>
      <c r="C13" s="26"/>
      <c r="D13" s="16" t="s">
        <v>15</v>
      </c>
      <c r="E13" s="16" t="s">
        <v>15</v>
      </c>
      <c r="F13" s="16" t="s">
        <v>15</v>
      </c>
      <c r="G13" s="16" t="s">
        <v>15</v>
      </c>
      <c r="H13" s="16" t="s">
        <v>15</v>
      </c>
      <c r="I13" s="16" t="s">
        <v>16</v>
      </c>
      <c r="J13" s="16" t="s">
        <v>15</v>
      </c>
      <c r="K13" s="16" t="s">
        <v>15</v>
      </c>
      <c r="L13" s="16" t="s">
        <v>15</v>
      </c>
      <c r="M13" s="16" t="s">
        <v>16</v>
      </c>
      <c r="N13" s="16" t="s">
        <v>16</v>
      </c>
      <c r="O13" s="16" t="s">
        <v>16</v>
      </c>
      <c r="P13" s="16" t="s">
        <v>16</v>
      </c>
      <c r="Q13" s="16" t="s">
        <v>15</v>
      </c>
      <c r="R13" s="16" t="s">
        <v>16</v>
      </c>
      <c r="S13" s="39" t="s">
        <v>15</v>
      </c>
      <c r="T13" s="29" t="s">
        <v>16</v>
      </c>
      <c r="U13" s="16" t="s">
        <v>16</v>
      </c>
      <c r="V13" s="90" t="s">
        <v>16</v>
      </c>
      <c r="W13" s="90" t="s">
        <v>16</v>
      </c>
      <c r="X13" s="22">
        <f t="shared" si="1"/>
        <v>0.5</v>
      </c>
      <c r="Y13" s="90" t="s">
        <v>15</v>
      </c>
      <c r="Z13" s="29" t="s">
        <v>16</v>
      </c>
      <c r="AA13" s="16" t="s">
        <v>16</v>
      </c>
      <c r="AB13" s="154" t="s">
        <v>16</v>
      </c>
      <c r="AC13" s="154" t="s">
        <v>16</v>
      </c>
      <c r="AD13" s="154" t="s">
        <v>15</v>
      </c>
      <c r="AE13" s="202" t="s">
        <v>15</v>
      </c>
      <c r="AF13" s="154" t="s">
        <v>16</v>
      </c>
      <c r="AG13" s="154" t="s">
        <v>15</v>
      </c>
      <c r="AH13" s="154" t="s">
        <v>15</v>
      </c>
      <c r="AI13" s="154" t="s">
        <v>16</v>
      </c>
      <c r="AJ13" s="154" t="s">
        <v>16</v>
      </c>
      <c r="AK13" s="154" t="s">
        <v>15</v>
      </c>
      <c r="AL13" s="154" t="s">
        <v>15</v>
      </c>
      <c r="AM13" s="154" t="s">
        <v>16</v>
      </c>
      <c r="AN13" s="154" t="s">
        <v>15</v>
      </c>
      <c r="AO13" s="154" t="s">
        <v>16</v>
      </c>
      <c r="AP13" s="16" t="s">
        <v>16</v>
      </c>
      <c r="AQ13" s="16" t="s">
        <v>15</v>
      </c>
      <c r="AR13" s="16" t="s">
        <v>15</v>
      </c>
      <c r="AS13" s="22">
        <f t="shared" si="2"/>
        <v>0.5</v>
      </c>
      <c r="AT13" s="16" t="s">
        <v>15</v>
      </c>
      <c r="AU13" s="154" t="s">
        <v>15</v>
      </c>
      <c r="AV13" s="16" t="s">
        <v>15</v>
      </c>
      <c r="AW13" s="16" t="s">
        <v>15</v>
      </c>
      <c r="AX13" s="16" t="s">
        <v>15</v>
      </c>
      <c r="AY13" s="16" t="s">
        <v>15</v>
      </c>
      <c r="AZ13" s="16" t="s">
        <v>15</v>
      </c>
      <c r="BA13" s="22">
        <f t="shared" si="3"/>
        <v>1</v>
      </c>
      <c r="BB13" s="16" t="s">
        <v>15</v>
      </c>
      <c r="BC13" s="16" t="s">
        <v>16</v>
      </c>
      <c r="BD13" s="16" t="s">
        <v>15</v>
      </c>
      <c r="BE13" s="16" t="s">
        <v>16</v>
      </c>
      <c r="BF13" s="16" t="s">
        <v>15</v>
      </c>
      <c r="BG13" s="16" t="s">
        <v>16</v>
      </c>
      <c r="BH13" s="16" t="s">
        <v>15</v>
      </c>
      <c r="BI13" s="16" t="s">
        <v>15</v>
      </c>
      <c r="BJ13" s="16" t="s">
        <v>16</v>
      </c>
      <c r="BK13" s="16" t="s">
        <v>15</v>
      </c>
      <c r="BL13" s="16" t="s">
        <v>15</v>
      </c>
      <c r="BM13" s="16" t="s">
        <v>15</v>
      </c>
      <c r="BN13" s="21" t="s">
        <v>15</v>
      </c>
      <c r="BO13" s="16" t="s">
        <v>16</v>
      </c>
      <c r="BP13" s="16" t="s">
        <v>15</v>
      </c>
      <c r="BQ13" s="203" t="s">
        <v>15</v>
      </c>
      <c r="BR13" s="203" t="s">
        <v>16</v>
      </c>
      <c r="BS13" s="203" t="s">
        <v>15</v>
      </c>
      <c r="BT13" s="203" t="s">
        <v>15</v>
      </c>
      <c r="BU13" s="203" t="s">
        <v>15</v>
      </c>
      <c r="BV13" s="16" t="s">
        <v>16</v>
      </c>
      <c r="BW13" s="16" t="s">
        <v>16</v>
      </c>
      <c r="BX13" s="22">
        <f t="shared" si="4"/>
        <v>0.6363636364</v>
      </c>
      <c r="BY13" s="203" t="s">
        <v>15</v>
      </c>
    </row>
    <row r="14">
      <c r="A14" s="24">
        <v>10.0</v>
      </c>
      <c r="B14" s="62"/>
      <c r="C14" s="58"/>
      <c r="D14" s="16" t="s">
        <v>15</v>
      </c>
      <c r="E14" s="16" t="s">
        <v>15</v>
      </c>
      <c r="F14" s="16" t="s">
        <v>15</v>
      </c>
      <c r="G14" s="16" t="s">
        <v>15</v>
      </c>
      <c r="H14" s="16" t="s">
        <v>15</v>
      </c>
      <c r="I14" s="16" t="s">
        <v>16</v>
      </c>
      <c r="J14" s="16" t="s">
        <v>15</v>
      </c>
      <c r="K14" s="16" t="s">
        <v>16</v>
      </c>
      <c r="L14" s="16" t="s">
        <v>15</v>
      </c>
      <c r="M14" s="16" t="s">
        <v>15</v>
      </c>
      <c r="N14" s="16" t="s">
        <v>15</v>
      </c>
      <c r="O14" s="16" t="s">
        <v>15</v>
      </c>
      <c r="P14" s="16" t="s">
        <v>16</v>
      </c>
      <c r="Q14" s="16" t="s">
        <v>15</v>
      </c>
      <c r="R14" s="16" t="s">
        <v>15</v>
      </c>
      <c r="S14" s="39" t="s">
        <v>15</v>
      </c>
      <c r="T14" s="39" t="s">
        <v>15</v>
      </c>
      <c r="U14" s="16" t="s">
        <v>15</v>
      </c>
      <c r="V14" s="90" t="s">
        <v>15</v>
      </c>
      <c r="W14" s="90" t="s">
        <v>15</v>
      </c>
      <c r="X14" s="22">
        <f t="shared" si="1"/>
        <v>0.85</v>
      </c>
      <c r="Y14" s="90" t="s">
        <v>15</v>
      </c>
      <c r="Z14" s="39" t="s">
        <v>15</v>
      </c>
      <c r="AA14" s="16" t="s">
        <v>15</v>
      </c>
      <c r="AB14" s="154" t="s">
        <v>15</v>
      </c>
      <c r="AC14" s="154" t="s">
        <v>15</v>
      </c>
      <c r="AD14" s="154" t="s">
        <v>15</v>
      </c>
      <c r="AE14" s="154" t="s">
        <v>16</v>
      </c>
      <c r="AF14" s="154" t="s">
        <v>15</v>
      </c>
      <c r="AG14" s="154" t="s">
        <v>15</v>
      </c>
      <c r="AH14" s="154" t="s">
        <v>16</v>
      </c>
      <c r="AI14" s="154" t="s">
        <v>16</v>
      </c>
      <c r="AJ14" s="154" t="s">
        <v>15</v>
      </c>
      <c r="AK14" s="154" t="s">
        <v>15</v>
      </c>
      <c r="AL14" s="154" t="s">
        <v>15</v>
      </c>
      <c r="AM14" s="154" t="s">
        <v>16</v>
      </c>
      <c r="AN14" s="154" t="s">
        <v>15</v>
      </c>
      <c r="AO14" s="154" t="s">
        <v>15</v>
      </c>
      <c r="AP14" s="16" t="s">
        <v>15</v>
      </c>
      <c r="AQ14" s="16" t="s">
        <v>16</v>
      </c>
      <c r="AR14" s="16" t="s">
        <v>15</v>
      </c>
      <c r="AS14" s="22">
        <f t="shared" si="2"/>
        <v>0.75</v>
      </c>
      <c r="AT14" s="16" t="s">
        <v>15</v>
      </c>
      <c r="AU14" s="154" t="s">
        <v>15</v>
      </c>
      <c r="AV14" s="16" t="s">
        <v>15</v>
      </c>
      <c r="AW14" s="16" t="s">
        <v>15</v>
      </c>
      <c r="AX14" s="16" t="s">
        <v>15</v>
      </c>
      <c r="AY14" s="16" t="s">
        <v>15</v>
      </c>
      <c r="AZ14" s="16" t="s">
        <v>16</v>
      </c>
      <c r="BA14" s="22">
        <f t="shared" si="3"/>
        <v>0.8571428571</v>
      </c>
      <c r="BB14" s="16" t="s">
        <v>15</v>
      </c>
      <c r="BC14" s="16" t="s">
        <v>15</v>
      </c>
      <c r="BD14" s="16" t="s">
        <v>15</v>
      </c>
      <c r="BE14" s="16" t="s">
        <v>15</v>
      </c>
      <c r="BF14" s="16" t="s">
        <v>15</v>
      </c>
      <c r="BG14" s="16" t="s">
        <v>15</v>
      </c>
      <c r="BH14" s="16" t="s">
        <v>16</v>
      </c>
      <c r="BI14" s="16" t="s">
        <v>15</v>
      </c>
      <c r="BJ14" s="16" t="s">
        <v>15</v>
      </c>
      <c r="BK14" s="16" t="s">
        <v>15</v>
      </c>
      <c r="BL14" s="16" t="s">
        <v>15</v>
      </c>
      <c r="BM14" s="16" t="s">
        <v>15</v>
      </c>
      <c r="BN14" s="21" t="s">
        <v>15</v>
      </c>
      <c r="BO14" s="203" t="s">
        <v>15</v>
      </c>
      <c r="BP14" s="203" t="s">
        <v>15</v>
      </c>
      <c r="BQ14" s="203" t="s">
        <v>15</v>
      </c>
      <c r="BR14" s="203" t="s">
        <v>15</v>
      </c>
      <c r="BS14" s="203" t="s">
        <v>15</v>
      </c>
      <c r="BT14" s="203" t="s">
        <v>15</v>
      </c>
      <c r="BU14" s="16" t="s">
        <v>16</v>
      </c>
      <c r="BV14" s="203" t="s">
        <v>15</v>
      </c>
      <c r="BW14" s="203" t="s">
        <v>15</v>
      </c>
      <c r="BX14" s="22">
        <f t="shared" si="4"/>
        <v>0.9090909091</v>
      </c>
      <c r="BY14" s="16" t="s">
        <v>16</v>
      </c>
    </row>
    <row r="15">
      <c r="A15" s="24">
        <v>11.0</v>
      </c>
      <c r="B15" s="216"/>
      <c r="C15" s="58"/>
      <c r="D15" s="16" t="s">
        <v>15</v>
      </c>
      <c r="E15" s="16" t="s">
        <v>15</v>
      </c>
      <c r="F15" s="16" t="s">
        <v>16</v>
      </c>
      <c r="G15" s="16" t="s">
        <v>15</v>
      </c>
      <c r="H15" s="16" t="s">
        <v>15</v>
      </c>
      <c r="I15" s="16" t="s">
        <v>15</v>
      </c>
      <c r="J15" s="16" t="s">
        <v>15</v>
      </c>
      <c r="K15" s="16" t="s">
        <v>16</v>
      </c>
      <c r="L15" s="16" t="s">
        <v>15</v>
      </c>
      <c r="M15" s="16" t="s">
        <v>15</v>
      </c>
      <c r="N15" s="16" t="s">
        <v>15</v>
      </c>
      <c r="O15" s="16" t="s">
        <v>15</v>
      </c>
      <c r="P15" s="16" t="s">
        <v>15</v>
      </c>
      <c r="Q15" s="16" t="s">
        <v>15</v>
      </c>
      <c r="R15" s="16" t="s">
        <v>15</v>
      </c>
      <c r="S15" s="39" t="s">
        <v>15</v>
      </c>
      <c r="T15" s="39" t="s">
        <v>15</v>
      </c>
      <c r="U15" s="16" t="s">
        <v>15</v>
      </c>
      <c r="V15" s="90" t="s">
        <v>15</v>
      </c>
      <c r="W15" s="90" t="s">
        <v>15</v>
      </c>
      <c r="X15" s="22">
        <f t="shared" si="1"/>
        <v>0.9</v>
      </c>
      <c r="Y15" s="90" t="s">
        <v>15</v>
      </c>
      <c r="Z15" s="39" t="s">
        <v>15</v>
      </c>
      <c r="AA15" s="16" t="s">
        <v>15</v>
      </c>
      <c r="AB15" s="154" t="s">
        <v>15</v>
      </c>
      <c r="AC15" s="154" t="s">
        <v>15</v>
      </c>
      <c r="AD15" s="154" t="s">
        <v>15</v>
      </c>
      <c r="AE15" s="154" t="s">
        <v>15</v>
      </c>
      <c r="AF15" s="154" t="s">
        <v>15</v>
      </c>
      <c r="AG15" s="154" t="s">
        <v>15</v>
      </c>
      <c r="AH15" s="154" t="s">
        <v>16</v>
      </c>
      <c r="AI15" s="154" t="s">
        <v>16</v>
      </c>
      <c r="AJ15" s="154" t="s">
        <v>15</v>
      </c>
      <c r="AK15" s="154" t="s">
        <v>15</v>
      </c>
      <c r="AL15" s="154" t="s">
        <v>16</v>
      </c>
      <c r="AM15" s="154" t="s">
        <v>15</v>
      </c>
      <c r="AN15" s="154" t="s">
        <v>16</v>
      </c>
      <c r="AO15" s="154" t="s">
        <v>15</v>
      </c>
      <c r="AP15" s="16" t="s">
        <v>16</v>
      </c>
      <c r="AQ15" s="16" t="s">
        <v>16</v>
      </c>
      <c r="AR15" s="16" t="s">
        <v>15</v>
      </c>
      <c r="AS15" s="22">
        <f t="shared" si="2"/>
        <v>0.7</v>
      </c>
      <c r="AT15" s="16" t="s">
        <v>16</v>
      </c>
      <c r="AU15" s="154" t="s">
        <v>16</v>
      </c>
      <c r="AV15" s="16" t="s">
        <v>15</v>
      </c>
      <c r="AW15" s="16" t="s">
        <v>15</v>
      </c>
      <c r="AX15" s="16" t="s">
        <v>15</v>
      </c>
      <c r="AY15" s="16" t="s">
        <v>15</v>
      </c>
      <c r="AZ15" s="16" t="s">
        <v>16</v>
      </c>
      <c r="BA15" s="22">
        <f t="shared" si="3"/>
        <v>0.5714285714</v>
      </c>
      <c r="BB15" s="16" t="s">
        <v>15</v>
      </c>
      <c r="BC15" s="16" t="s">
        <v>16</v>
      </c>
      <c r="BD15" s="16" t="s">
        <v>15</v>
      </c>
      <c r="BE15" s="16" t="s">
        <v>15</v>
      </c>
      <c r="BF15" s="16" t="s">
        <v>15</v>
      </c>
      <c r="BG15" s="16" t="s">
        <v>16</v>
      </c>
      <c r="BH15" s="16" t="s">
        <v>16</v>
      </c>
      <c r="BI15" s="16" t="s">
        <v>15</v>
      </c>
      <c r="BJ15" s="16" t="s">
        <v>16</v>
      </c>
      <c r="BK15" s="16" t="s">
        <v>16</v>
      </c>
      <c r="BL15" s="16" t="s">
        <v>15</v>
      </c>
      <c r="BM15" s="16" t="s">
        <v>15</v>
      </c>
      <c r="BN15" s="21" t="s">
        <v>15</v>
      </c>
      <c r="BO15" s="203" t="s">
        <v>15</v>
      </c>
      <c r="BP15" s="203" t="s">
        <v>15</v>
      </c>
      <c r="BQ15" s="203" t="s">
        <v>15</v>
      </c>
      <c r="BR15" s="203" t="s">
        <v>15</v>
      </c>
      <c r="BS15" s="203" t="s">
        <v>15</v>
      </c>
      <c r="BT15" s="203" t="s">
        <v>15</v>
      </c>
      <c r="BU15" s="16" t="s">
        <v>16</v>
      </c>
      <c r="BV15" s="203" t="s">
        <v>15</v>
      </c>
      <c r="BW15" s="203" t="s">
        <v>16</v>
      </c>
      <c r="BX15" s="22">
        <f t="shared" si="4"/>
        <v>0.6818181818</v>
      </c>
      <c r="BY15" s="16" t="s">
        <v>16</v>
      </c>
    </row>
    <row r="16">
      <c r="A16" s="24">
        <v>12.0</v>
      </c>
      <c r="B16" s="62"/>
      <c r="C16" s="113"/>
      <c r="D16" s="16" t="s">
        <v>15</v>
      </c>
      <c r="E16" s="16" t="s">
        <v>15</v>
      </c>
      <c r="F16" s="154" t="s">
        <v>15</v>
      </c>
      <c r="G16" s="16" t="s">
        <v>15</v>
      </c>
      <c r="H16" s="16" t="s">
        <v>16</v>
      </c>
      <c r="I16" s="16" t="s">
        <v>15</v>
      </c>
      <c r="J16" s="16" t="s">
        <v>15</v>
      </c>
      <c r="K16" s="16" t="s">
        <v>15</v>
      </c>
      <c r="L16" s="16" t="s">
        <v>15</v>
      </c>
      <c r="M16" s="16" t="s">
        <v>16</v>
      </c>
      <c r="N16" s="16" t="s">
        <v>15</v>
      </c>
      <c r="O16" s="16" t="s">
        <v>15</v>
      </c>
      <c r="P16" s="16" t="s">
        <v>16</v>
      </c>
      <c r="Q16" s="16" t="s">
        <v>15</v>
      </c>
      <c r="R16" s="16" t="s">
        <v>15</v>
      </c>
      <c r="S16" s="39" t="s">
        <v>15</v>
      </c>
      <c r="T16" s="39" t="s">
        <v>15</v>
      </c>
      <c r="U16" s="16" t="s">
        <v>15</v>
      </c>
      <c r="V16" s="90" t="s">
        <v>16</v>
      </c>
      <c r="W16" s="90" t="s">
        <v>15</v>
      </c>
      <c r="X16" s="22">
        <f t="shared" si="1"/>
        <v>0.8</v>
      </c>
      <c r="Y16" s="29" t="s">
        <v>16</v>
      </c>
      <c r="Z16" s="39" t="s">
        <v>15</v>
      </c>
      <c r="AA16" s="16" t="s">
        <v>16</v>
      </c>
      <c r="AB16" s="154" t="s">
        <v>15</v>
      </c>
      <c r="AC16" s="154" t="s">
        <v>15</v>
      </c>
      <c r="AD16" s="154" t="s">
        <v>15</v>
      </c>
      <c r="AE16" s="154" t="s">
        <v>16</v>
      </c>
      <c r="AF16" s="154" t="s">
        <v>15</v>
      </c>
      <c r="AG16" s="154" t="s">
        <v>16</v>
      </c>
      <c r="AH16" s="154" t="s">
        <v>16</v>
      </c>
      <c r="AI16" s="154" t="s">
        <v>15</v>
      </c>
      <c r="AJ16" s="154" t="s">
        <v>15</v>
      </c>
      <c r="AK16" s="154" t="s">
        <v>15</v>
      </c>
      <c r="AL16" s="154" t="s">
        <v>16</v>
      </c>
      <c r="AM16" s="154" t="s">
        <v>15</v>
      </c>
      <c r="AN16" s="154" t="s">
        <v>15</v>
      </c>
      <c r="AO16" s="154" t="s">
        <v>15</v>
      </c>
      <c r="AP16" s="16" t="s">
        <v>16</v>
      </c>
      <c r="AQ16" s="16" t="s">
        <v>16</v>
      </c>
      <c r="AR16" s="16" t="s">
        <v>15</v>
      </c>
      <c r="AS16" s="22">
        <f t="shared" si="2"/>
        <v>0.6</v>
      </c>
      <c r="AT16" s="16" t="s">
        <v>15</v>
      </c>
      <c r="AU16" s="154" t="s">
        <v>15</v>
      </c>
      <c r="AV16" s="16" t="s">
        <v>15</v>
      </c>
      <c r="AW16" s="16" t="s">
        <v>15</v>
      </c>
      <c r="AX16" s="16" t="s">
        <v>15</v>
      </c>
      <c r="AY16" s="16" t="s">
        <v>15</v>
      </c>
      <c r="AZ16" s="16" t="s">
        <v>16</v>
      </c>
      <c r="BA16" s="22">
        <f t="shared" si="3"/>
        <v>0.8571428571</v>
      </c>
      <c r="BB16" s="16" t="s">
        <v>15</v>
      </c>
      <c r="BC16" s="16" t="s">
        <v>15</v>
      </c>
      <c r="BD16" s="16" t="s">
        <v>15</v>
      </c>
      <c r="BE16" s="16" t="s">
        <v>15</v>
      </c>
      <c r="BF16" s="16" t="s">
        <v>15</v>
      </c>
      <c r="BG16" s="16" t="s">
        <v>15</v>
      </c>
      <c r="BH16" s="16" t="s">
        <v>16</v>
      </c>
      <c r="BI16" s="16" t="s">
        <v>15</v>
      </c>
      <c r="BJ16" s="16" t="s">
        <v>15</v>
      </c>
      <c r="BK16" s="16" t="s">
        <v>15</v>
      </c>
      <c r="BL16" s="16" t="s">
        <v>16</v>
      </c>
      <c r="BM16" s="16" t="s">
        <v>15</v>
      </c>
      <c r="BN16" s="16" t="s">
        <v>16</v>
      </c>
      <c r="BO16" s="203" t="s">
        <v>15</v>
      </c>
      <c r="BP16" s="203" t="s">
        <v>16</v>
      </c>
      <c r="BQ16" s="203" t="s">
        <v>15</v>
      </c>
      <c r="BR16" s="203" t="s">
        <v>15</v>
      </c>
      <c r="BS16" s="203" t="s">
        <v>15</v>
      </c>
      <c r="BT16" s="203" t="s">
        <v>15</v>
      </c>
      <c r="BU16" s="203" t="s">
        <v>15</v>
      </c>
      <c r="BV16" s="203" t="s">
        <v>15</v>
      </c>
      <c r="BW16" s="203" t="s">
        <v>15</v>
      </c>
      <c r="BX16" s="22">
        <f t="shared" si="4"/>
        <v>0.8181818182</v>
      </c>
      <c r="BY16" s="203" t="s">
        <v>15</v>
      </c>
    </row>
    <row r="17">
      <c r="A17" s="24">
        <v>13.0</v>
      </c>
      <c r="B17" s="62"/>
      <c r="C17" s="26"/>
      <c r="D17" s="16" t="s">
        <v>15</v>
      </c>
      <c r="E17" s="16" t="s">
        <v>15</v>
      </c>
      <c r="F17" s="16" t="s">
        <v>15</v>
      </c>
      <c r="G17" s="16" t="s">
        <v>15</v>
      </c>
      <c r="H17" s="16" t="s">
        <v>15</v>
      </c>
      <c r="I17" s="16" t="s">
        <v>16</v>
      </c>
      <c r="J17" s="16" t="s">
        <v>15</v>
      </c>
      <c r="K17" s="16" t="s">
        <v>15</v>
      </c>
      <c r="L17" s="154" t="s">
        <v>16</v>
      </c>
      <c r="M17" s="16" t="s">
        <v>15</v>
      </c>
      <c r="N17" s="16" t="s">
        <v>15</v>
      </c>
      <c r="O17" s="16" t="s">
        <v>15</v>
      </c>
      <c r="P17" s="16" t="s">
        <v>15</v>
      </c>
      <c r="Q17" s="16" t="s">
        <v>16</v>
      </c>
      <c r="R17" s="16" t="s">
        <v>15</v>
      </c>
      <c r="S17" s="39" t="s">
        <v>15</v>
      </c>
      <c r="T17" s="39" t="s">
        <v>15</v>
      </c>
      <c r="U17" s="16" t="s">
        <v>15</v>
      </c>
      <c r="V17" s="90" t="s">
        <v>15</v>
      </c>
      <c r="W17" s="90" t="s">
        <v>16</v>
      </c>
      <c r="X17" s="22">
        <f t="shared" si="1"/>
        <v>0.8</v>
      </c>
      <c r="Y17" s="29" t="s">
        <v>16</v>
      </c>
      <c r="Z17" s="39" t="s">
        <v>15</v>
      </c>
      <c r="AA17" s="16" t="s">
        <v>15</v>
      </c>
      <c r="AB17" s="154" t="s">
        <v>15</v>
      </c>
      <c r="AC17" s="154" t="s">
        <v>15</v>
      </c>
      <c r="AD17" s="154" t="s">
        <v>15</v>
      </c>
      <c r="AE17" s="154" t="s">
        <v>16</v>
      </c>
      <c r="AF17" s="154" t="s">
        <v>15</v>
      </c>
      <c r="AG17" s="154" t="s">
        <v>16</v>
      </c>
      <c r="AH17" s="154" t="s">
        <v>16</v>
      </c>
      <c r="AI17" s="154" t="s">
        <v>15</v>
      </c>
      <c r="AJ17" s="154" t="s">
        <v>15</v>
      </c>
      <c r="AK17" s="154" t="s">
        <v>15</v>
      </c>
      <c r="AL17" s="154" t="s">
        <v>15</v>
      </c>
      <c r="AM17" s="154" t="s">
        <v>15</v>
      </c>
      <c r="AN17" s="154" t="s">
        <v>16</v>
      </c>
      <c r="AO17" s="154" t="s">
        <v>15</v>
      </c>
      <c r="AP17" s="16" t="s">
        <v>16</v>
      </c>
      <c r="AQ17" s="16" t="s">
        <v>16</v>
      </c>
      <c r="AR17" s="16" t="s">
        <v>15</v>
      </c>
      <c r="AS17" s="22">
        <f t="shared" si="2"/>
        <v>0.65</v>
      </c>
      <c r="AT17" s="16" t="s">
        <v>15</v>
      </c>
      <c r="AU17" s="154" t="s">
        <v>15</v>
      </c>
      <c r="AV17" s="16" t="s">
        <v>15</v>
      </c>
      <c r="AW17" s="16" t="s">
        <v>15</v>
      </c>
      <c r="AX17" s="16" t="s">
        <v>15</v>
      </c>
      <c r="AY17" s="16" t="s">
        <v>15</v>
      </c>
      <c r="AZ17" s="16" t="s">
        <v>15</v>
      </c>
      <c r="BA17" s="22">
        <f t="shared" si="3"/>
        <v>1</v>
      </c>
      <c r="BB17" s="16" t="s">
        <v>16</v>
      </c>
      <c r="BC17" s="16" t="s">
        <v>15</v>
      </c>
      <c r="BD17" s="16" t="s">
        <v>15</v>
      </c>
      <c r="BE17" s="16" t="s">
        <v>15</v>
      </c>
      <c r="BF17" s="16" t="s">
        <v>15</v>
      </c>
      <c r="BG17" s="16" t="s">
        <v>15</v>
      </c>
      <c r="BH17" s="16" t="s">
        <v>16</v>
      </c>
      <c r="BI17" s="16" t="s">
        <v>15</v>
      </c>
      <c r="BJ17" s="16" t="s">
        <v>15</v>
      </c>
      <c r="BK17" s="16" t="s">
        <v>15</v>
      </c>
      <c r="BL17" s="16" t="s">
        <v>15</v>
      </c>
      <c r="BM17" s="16" t="s">
        <v>15</v>
      </c>
      <c r="BN17" s="21" t="s">
        <v>15</v>
      </c>
      <c r="BO17" s="203" t="s">
        <v>15</v>
      </c>
      <c r="BP17" s="203" t="s">
        <v>16</v>
      </c>
      <c r="BQ17" s="203" t="s">
        <v>15</v>
      </c>
      <c r="BR17" s="203" t="s">
        <v>15</v>
      </c>
      <c r="BS17" s="203" t="s">
        <v>15</v>
      </c>
      <c r="BT17" s="203" t="s">
        <v>15</v>
      </c>
      <c r="BU17" s="16" t="s">
        <v>16</v>
      </c>
      <c r="BV17" s="203" t="s">
        <v>15</v>
      </c>
      <c r="BW17" s="203" t="s">
        <v>15</v>
      </c>
      <c r="BX17" s="22">
        <f t="shared" si="4"/>
        <v>0.8181818182</v>
      </c>
      <c r="BY17" s="16" t="s">
        <v>16</v>
      </c>
    </row>
    <row r="18">
      <c r="A18" s="24">
        <v>14.0</v>
      </c>
      <c r="B18" s="62"/>
      <c r="C18" s="219" t="s">
        <v>32</v>
      </c>
      <c r="D18" s="16" t="s">
        <v>15</v>
      </c>
      <c r="E18" s="16" t="s">
        <v>15</v>
      </c>
      <c r="F18" s="16" t="s">
        <v>15</v>
      </c>
      <c r="G18" s="16" t="s">
        <v>16</v>
      </c>
      <c r="H18" s="16" t="s">
        <v>15</v>
      </c>
      <c r="I18" s="16" t="s">
        <v>15</v>
      </c>
      <c r="J18" s="16" t="s">
        <v>15</v>
      </c>
      <c r="K18" s="16" t="s">
        <v>15</v>
      </c>
      <c r="L18" s="154" t="s">
        <v>16</v>
      </c>
      <c r="M18" s="16" t="s">
        <v>15</v>
      </c>
      <c r="N18" s="16" t="s">
        <v>15</v>
      </c>
      <c r="O18" s="16" t="s">
        <v>16</v>
      </c>
      <c r="P18" s="16" t="s">
        <v>15</v>
      </c>
      <c r="Q18" s="16" t="s">
        <v>15</v>
      </c>
      <c r="R18" s="16" t="s">
        <v>15</v>
      </c>
      <c r="S18" s="39" t="s">
        <v>15</v>
      </c>
      <c r="T18" s="29" t="s">
        <v>16</v>
      </c>
      <c r="U18" s="16" t="s">
        <v>15</v>
      </c>
      <c r="V18" s="90" t="s">
        <v>15</v>
      </c>
      <c r="W18" s="90" t="s">
        <v>15</v>
      </c>
      <c r="X18" s="22">
        <f t="shared" si="1"/>
        <v>0.8</v>
      </c>
      <c r="Y18" s="90" t="s">
        <v>15</v>
      </c>
      <c r="Z18" s="39" t="s">
        <v>15</v>
      </c>
      <c r="AA18" s="16" t="s">
        <v>15</v>
      </c>
      <c r="AB18" s="154" t="s">
        <v>16</v>
      </c>
      <c r="AC18" s="154" t="s">
        <v>15</v>
      </c>
      <c r="AD18" s="154" t="s">
        <v>15</v>
      </c>
      <c r="AE18" s="202" t="s">
        <v>15</v>
      </c>
      <c r="AF18" s="154" t="s">
        <v>15</v>
      </c>
      <c r="AG18" s="154" t="s">
        <v>15</v>
      </c>
      <c r="AH18" s="154" t="s">
        <v>15</v>
      </c>
      <c r="AI18" s="154" t="s">
        <v>15</v>
      </c>
      <c r="AJ18" s="154" t="s">
        <v>16</v>
      </c>
      <c r="AK18" s="154" t="s">
        <v>16</v>
      </c>
      <c r="AL18" s="154" t="s">
        <v>15</v>
      </c>
      <c r="AM18" s="154" t="s">
        <v>15</v>
      </c>
      <c r="AN18" s="154" t="s">
        <v>16</v>
      </c>
      <c r="AO18" s="154" t="s">
        <v>15</v>
      </c>
      <c r="AP18" s="16" t="s">
        <v>15</v>
      </c>
      <c r="AQ18" s="16" t="s">
        <v>16</v>
      </c>
      <c r="AR18" s="16" t="s">
        <v>15</v>
      </c>
      <c r="AS18" s="22">
        <f t="shared" si="2"/>
        <v>0.75</v>
      </c>
      <c r="AT18" s="16" t="s">
        <v>15</v>
      </c>
      <c r="AU18" s="154" t="s">
        <v>15</v>
      </c>
      <c r="AV18" s="16" t="s">
        <v>15</v>
      </c>
      <c r="AW18" s="16" t="s">
        <v>15</v>
      </c>
      <c r="AX18" s="16" t="s">
        <v>16</v>
      </c>
      <c r="AY18" s="16" t="s">
        <v>15</v>
      </c>
      <c r="AZ18" s="16" t="s">
        <v>15</v>
      </c>
      <c r="BA18" s="22">
        <f t="shared" si="3"/>
        <v>0.8571428571</v>
      </c>
      <c r="BB18" s="16" t="s">
        <v>15</v>
      </c>
      <c r="BC18" s="16" t="s">
        <v>15</v>
      </c>
      <c r="BD18" s="16" t="s">
        <v>15</v>
      </c>
      <c r="BE18" s="16" t="s">
        <v>15</v>
      </c>
      <c r="BF18" s="16" t="s">
        <v>15</v>
      </c>
      <c r="BG18" s="16" t="s">
        <v>15</v>
      </c>
      <c r="BH18" s="16" t="s">
        <v>15</v>
      </c>
      <c r="BI18" s="16" t="s">
        <v>15</v>
      </c>
      <c r="BJ18" s="16" t="s">
        <v>16</v>
      </c>
      <c r="BK18" s="16" t="s">
        <v>15</v>
      </c>
      <c r="BL18" s="16" t="s">
        <v>15</v>
      </c>
      <c r="BM18" s="16" t="s">
        <v>15</v>
      </c>
      <c r="BN18" s="21" t="s">
        <v>15</v>
      </c>
      <c r="BO18" s="203" t="s">
        <v>15</v>
      </c>
      <c r="BP18" s="203" t="s">
        <v>15</v>
      </c>
      <c r="BQ18" s="203" t="s">
        <v>15</v>
      </c>
      <c r="BR18" s="203" t="s">
        <v>15</v>
      </c>
      <c r="BS18" s="203" t="s">
        <v>15</v>
      </c>
      <c r="BT18" s="203" t="s">
        <v>15</v>
      </c>
      <c r="BU18" s="16" t="s">
        <v>16</v>
      </c>
      <c r="BV18" s="203" t="s">
        <v>15</v>
      </c>
      <c r="BW18" s="203" t="s">
        <v>15</v>
      </c>
      <c r="BX18" s="22">
        <f t="shared" si="4"/>
        <v>0.9090909091</v>
      </c>
      <c r="BY18" s="16" t="s">
        <v>16</v>
      </c>
    </row>
    <row r="19">
      <c r="A19" s="24">
        <v>15.0</v>
      </c>
      <c r="B19" s="62"/>
      <c r="C19" s="58"/>
      <c r="D19" s="16" t="s">
        <v>15</v>
      </c>
      <c r="E19" s="16" t="s">
        <v>15</v>
      </c>
      <c r="F19" s="16" t="s">
        <v>15</v>
      </c>
      <c r="G19" s="16" t="s">
        <v>15</v>
      </c>
      <c r="H19" s="16" t="s">
        <v>15</v>
      </c>
      <c r="I19" s="16" t="s">
        <v>15</v>
      </c>
      <c r="J19" s="16" t="s">
        <v>15</v>
      </c>
      <c r="K19" s="16" t="s">
        <v>15</v>
      </c>
      <c r="L19" s="16" t="s">
        <v>15</v>
      </c>
      <c r="M19" s="16" t="s">
        <v>15</v>
      </c>
      <c r="N19" s="16" t="s">
        <v>15</v>
      </c>
      <c r="O19" s="16" t="s">
        <v>15</v>
      </c>
      <c r="P19" s="16" t="s">
        <v>15</v>
      </c>
      <c r="Q19" s="16" t="s">
        <v>15</v>
      </c>
      <c r="R19" s="16" t="s">
        <v>15</v>
      </c>
      <c r="S19" s="39" t="s">
        <v>15</v>
      </c>
      <c r="T19" s="39" t="s">
        <v>15</v>
      </c>
      <c r="U19" s="16" t="s">
        <v>15</v>
      </c>
      <c r="V19" s="90" t="s">
        <v>15</v>
      </c>
      <c r="W19" s="90" t="s">
        <v>15</v>
      </c>
      <c r="X19" s="22">
        <f t="shared" si="1"/>
        <v>1</v>
      </c>
      <c r="Y19" s="90" t="s">
        <v>15</v>
      </c>
      <c r="Z19" s="39" t="s">
        <v>15</v>
      </c>
      <c r="AA19" s="16" t="s">
        <v>15</v>
      </c>
      <c r="AB19" s="154" t="s">
        <v>15</v>
      </c>
      <c r="AC19" s="154" t="s">
        <v>15</v>
      </c>
      <c r="AD19" s="154" t="s">
        <v>15</v>
      </c>
      <c r="AE19" s="202" t="s">
        <v>15</v>
      </c>
      <c r="AF19" s="154" t="s">
        <v>15</v>
      </c>
      <c r="AG19" s="154" t="s">
        <v>15</v>
      </c>
      <c r="AH19" s="154" t="s">
        <v>15</v>
      </c>
      <c r="AI19" s="154" t="s">
        <v>15</v>
      </c>
      <c r="AJ19" s="154" t="s">
        <v>15</v>
      </c>
      <c r="AK19" s="154" t="s">
        <v>15</v>
      </c>
      <c r="AL19" s="154" t="s">
        <v>15</v>
      </c>
      <c r="AM19" s="154" t="s">
        <v>15</v>
      </c>
      <c r="AN19" s="154" t="s">
        <v>15</v>
      </c>
      <c r="AO19" s="154" t="s">
        <v>15</v>
      </c>
      <c r="AP19" s="16" t="s">
        <v>15</v>
      </c>
      <c r="AQ19" s="16" t="s">
        <v>15</v>
      </c>
      <c r="AR19" s="16" t="s">
        <v>15</v>
      </c>
      <c r="AS19" s="22">
        <f t="shared" si="2"/>
        <v>1</v>
      </c>
      <c r="AT19" s="16" t="s">
        <v>16</v>
      </c>
      <c r="AU19" s="154" t="s">
        <v>16</v>
      </c>
      <c r="AV19" s="16" t="s">
        <v>15</v>
      </c>
      <c r="AW19" s="16" t="s">
        <v>15</v>
      </c>
      <c r="AX19" s="16" t="s">
        <v>15</v>
      </c>
      <c r="AY19" s="16" t="s">
        <v>16</v>
      </c>
      <c r="AZ19" s="16" t="s">
        <v>15</v>
      </c>
      <c r="BA19" s="22">
        <f t="shared" si="3"/>
        <v>0.5714285714</v>
      </c>
      <c r="BB19" s="16" t="s">
        <v>15</v>
      </c>
      <c r="BC19" s="16" t="s">
        <v>15</v>
      </c>
      <c r="BD19" s="16" t="s">
        <v>15</v>
      </c>
      <c r="BE19" s="16" t="s">
        <v>15</v>
      </c>
      <c r="BF19" s="16" t="s">
        <v>15</v>
      </c>
      <c r="BG19" s="16" t="s">
        <v>15</v>
      </c>
      <c r="BH19" s="16" t="s">
        <v>15</v>
      </c>
      <c r="BI19" s="16" t="s">
        <v>15</v>
      </c>
      <c r="BJ19" s="16" t="s">
        <v>15</v>
      </c>
      <c r="BK19" s="16" t="s">
        <v>15</v>
      </c>
      <c r="BL19" s="16" t="s">
        <v>15</v>
      </c>
      <c r="BM19" s="16" t="s">
        <v>15</v>
      </c>
      <c r="BN19" s="21" t="s">
        <v>15</v>
      </c>
      <c r="BO19" s="203" t="s">
        <v>15</v>
      </c>
      <c r="BP19" s="203" t="s">
        <v>15</v>
      </c>
      <c r="BQ19" s="203" t="s">
        <v>15</v>
      </c>
      <c r="BR19" s="203" t="s">
        <v>15</v>
      </c>
      <c r="BS19" s="203" t="s">
        <v>15</v>
      </c>
      <c r="BT19" s="203" t="s">
        <v>15</v>
      </c>
      <c r="BU19" s="16" t="s">
        <v>16</v>
      </c>
      <c r="BV19" s="203" t="s">
        <v>15</v>
      </c>
      <c r="BW19" s="203" t="s">
        <v>15</v>
      </c>
      <c r="BX19" s="22">
        <f t="shared" si="4"/>
        <v>0.9545454545</v>
      </c>
      <c r="BY19" s="16" t="s">
        <v>16</v>
      </c>
    </row>
    <row r="20">
      <c r="A20" s="24">
        <v>16.0</v>
      </c>
      <c r="B20" s="62"/>
      <c r="C20" s="58"/>
      <c r="D20" s="16" t="s">
        <v>15</v>
      </c>
      <c r="E20" s="16" t="s">
        <v>15</v>
      </c>
      <c r="F20" s="16" t="s">
        <v>15</v>
      </c>
      <c r="G20" s="16" t="s">
        <v>15</v>
      </c>
      <c r="H20" s="16" t="s">
        <v>16</v>
      </c>
      <c r="I20" s="16" t="s">
        <v>15</v>
      </c>
      <c r="J20" s="16" t="s">
        <v>15</v>
      </c>
      <c r="K20" s="16" t="s">
        <v>15</v>
      </c>
      <c r="L20" s="16" t="s">
        <v>15</v>
      </c>
      <c r="M20" s="16" t="s">
        <v>16</v>
      </c>
      <c r="N20" s="16" t="s">
        <v>15</v>
      </c>
      <c r="O20" s="16" t="s">
        <v>15</v>
      </c>
      <c r="P20" s="16" t="s">
        <v>15</v>
      </c>
      <c r="Q20" s="16" t="s">
        <v>15</v>
      </c>
      <c r="R20" s="16" t="s">
        <v>15</v>
      </c>
      <c r="S20" s="39" t="s">
        <v>15</v>
      </c>
      <c r="T20" s="29" t="s">
        <v>16</v>
      </c>
      <c r="U20" s="16" t="s">
        <v>15</v>
      </c>
      <c r="V20" s="90" t="s">
        <v>15</v>
      </c>
      <c r="W20" s="90" t="s">
        <v>16</v>
      </c>
      <c r="X20" s="22">
        <f t="shared" si="1"/>
        <v>0.8</v>
      </c>
      <c r="Y20" s="90" t="s">
        <v>15</v>
      </c>
      <c r="Z20" s="39" t="s">
        <v>15</v>
      </c>
      <c r="AA20" s="16" t="s">
        <v>16</v>
      </c>
      <c r="AB20" s="154" t="s">
        <v>15</v>
      </c>
      <c r="AC20" s="154" t="s">
        <v>15</v>
      </c>
      <c r="AD20" s="154" t="s">
        <v>15</v>
      </c>
      <c r="AE20" s="202" t="s">
        <v>15</v>
      </c>
      <c r="AF20" s="154" t="s">
        <v>15</v>
      </c>
      <c r="AG20" s="154" t="s">
        <v>15</v>
      </c>
      <c r="AH20" s="154" t="s">
        <v>15</v>
      </c>
      <c r="AI20" s="154" t="s">
        <v>16</v>
      </c>
      <c r="AJ20" s="154" t="s">
        <v>15</v>
      </c>
      <c r="AK20" s="154" t="s">
        <v>15</v>
      </c>
      <c r="AL20" s="154" t="s">
        <v>16</v>
      </c>
      <c r="AM20" s="154" t="s">
        <v>15</v>
      </c>
      <c r="AN20" s="154" t="s">
        <v>16</v>
      </c>
      <c r="AO20" s="154" t="s">
        <v>15</v>
      </c>
      <c r="AP20" s="16" t="s">
        <v>16</v>
      </c>
      <c r="AQ20" s="16" t="s">
        <v>15</v>
      </c>
      <c r="AR20" s="16" t="s">
        <v>15</v>
      </c>
      <c r="AS20" s="22">
        <f t="shared" si="2"/>
        <v>0.75</v>
      </c>
      <c r="AT20" s="16" t="s">
        <v>15</v>
      </c>
      <c r="AU20" s="154" t="s">
        <v>15</v>
      </c>
      <c r="AV20" s="16" t="s">
        <v>15</v>
      </c>
      <c r="AW20" s="16" t="s">
        <v>15</v>
      </c>
      <c r="AX20" s="16" t="s">
        <v>15</v>
      </c>
      <c r="AY20" s="16" t="s">
        <v>15</v>
      </c>
      <c r="AZ20" s="16" t="s">
        <v>15</v>
      </c>
      <c r="BA20" s="22">
        <f t="shared" si="3"/>
        <v>1</v>
      </c>
      <c r="BB20" s="16" t="s">
        <v>15</v>
      </c>
      <c r="BC20" s="16" t="s">
        <v>15</v>
      </c>
      <c r="BD20" s="16" t="s">
        <v>15</v>
      </c>
      <c r="BE20" s="16" t="s">
        <v>15</v>
      </c>
      <c r="BF20" s="16" t="s">
        <v>15</v>
      </c>
      <c r="BG20" s="16" t="s">
        <v>15</v>
      </c>
      <c r="BH20" s="16" t="s">
        <v>15</v>
      </c>
      <c r="BI20" s="16" t="s">
        <v>15</v>
      </c>
      <c r="BJ20" s="16" t="s">
        <v>15</v>
      </c>
      <c r="BK20" s="16" t="s">
        <v>15</v>
      </c>
      <c r="BL20" s="16" t="s">
        <v>15</v>
      </c>
      <c r="BM20" s="16" t="s">
        <v>15</v>
      </c>
      <c r="BN20" s="21" t="s">
        <v>15</v>
      </c>
      <c r="BO20" s="203" t="s">
        <v>15</v>
      </c>
      <c r="BP20" s="203" t="s">
        <v>15</v>
      </c>
      <c r="BQ20" s="203" t="s">
        <v>15</v>
      </c>
      <c r="BR20" s="203" t="s">
        <v>15</v>
      </c>
      <c r="BS20" s="203" t="s">
        <v>15</v>
      </c>
      <c r="BT20" s="203" t="s">
        <v>15</v>
      </c>
      <c r="BU20" s="16" t="s">
        <v>16</v>
      </c>
      <c r="BV20" s="203" t="s">
        <v>15</v>
      </c>
      <c r="BW20" s="203" t="s">
        <v>15</v>
      </c>
      <c r="BX20" s="22">
        <f t="shared" si="4"/>
        <v>0.9545454545</v>
      </c>
      <c r="BY20" s="16" t="s">
        <v>15</v>
      </c>
    </row>
    <row r="21">
      <c r="A21" s="24">
        <v>17.0</v>
      </c>
      <c r="B21" s="62"/>
      <c r="C21" s="58"/>
      <c r="D21" s="16" t="s">
        <v>15</v>
      </c>
      <c r="E21" s="16" t="s">
        <v>15</v>
      </c>
      <c r="F21" s="16" t="s">
        <v>15</v>
      </c>
      <c r="G21" s="16" t="s">
        <v>15</v>
      </c>
      <c r="H21" s="16" t="s">
        <v>15</v>
      </c>
      <c r="I21" s="16" t="s">
        <v>16</v>
      </c>
      <c r="J21" s="16" t="s">
        <v>15</v>
      </c>
      <c r="K21" s="16" t="s">
        <v>15</v>
      </c>
      <c r="L21" s="16" t="s">
        <v>15</v>
      </c>
      <c r="M21" s="16" t="s">
        <v>15</v>
      </c>
      <c r="N21" s="16" t="s">
        <v>16</v>
      </c>
      <c r="O21" s="16" t="s">
        <v>15</v>
      </c>
      <c r="P21" s="16" t="s">
        <v>15</v>
      </c>
      <c r="Q21" s="16" t="s">
        <v>15</v>
      </c>
      <c r="R21" s="16" t="s">
        <v>16</v>
      </c>
      <c r="S21" s="39" t="s">
        <v>15</v>
      </c>
      <c r="T21" s="39" t="s">
        <v>15</v>
      </c>
      <c r="U21" s="16" t="s">
        <v>15</v>
      </c>
      <c r="V21" s="90" t="s">
        <v>15</v>
      </c>
      <c r="W21" s="90" t="s">
        <v>15</v>
      </c>
      <c r="X21" s="22">
        <f t="shared" si="1"/>
        <v>0.85</v>
      </c>
      <c r="Y21" s="90" t="s">
        <v>15</v>
      </c>
      <c r="Z21" s="29" t="s">
        <v>16</v>
      </c>
      <c r="AA21" s="16" t="s">
        <v>15</v>
      </c>
      <c r="AB21" s="154" t="s">
        <v>16</v>
      </c>
      <c r="AC21" s="154" t="s">
        <v>16</v>
      </c>
      <c r="AD21" s="154" t="s">
        <v>15</v>
      </c>
      <c r="AE21" s="202" t="s">
        <v>15</v>
      </c>
      <c r="AF21" s="154" t="s">
        <v>15</v>
      </c>
      <c r="AG21" s="154" t="s">
        <v>15</v>
      </c>
      <c r="AH21" s="154" t="s">
        <v>15</v>
      </c>
      <c r="AI21" s="154" t="s">
        <v>16</v>
      </c>
      <c r="AJ21" s="154" t="s">
        <v>15</v>
      </c>
      <c r="AK21" s="154" t="s">
        <v>16</v>
      </c>
      <c r="AL21" s="154" t="s">
        <v>16</v>
      </c>
      <c r="AM21" s="154" t="s">
        <v>15</v>
      </c>
      <c r="AN21" s="154" t="s">
        <v>15</v>
      </c>
      <c r="AO21" s="154" t="s">
        <v>16</v>
      </c>
      <c r="AP21" s="16" t="s">
        <v>15</v>
      </c>
      <c r="AQ21" s="16" t="s">
        <v>16</v>
      </c>
      <c r="AR21" s="16" t="s">
        <v>15</v>
      </c>
      <c r="AS21" s="22">
        <f t="shared" si="2"/>
        <v>0.6</v>
      </c>
      <c r="AT21" s="16" t="s">
        <v>16</v>
      </c>
      <c r="AU21" s="154" t="s">
        <v>16</v>
      </c>
      <c r="AV21" s="16" t="s">
        <v>15</v>
      </c>
      <c r="AW21" s="16" t="s">
        <v>15</v>
      </c>
      <c r="AX21" s="16" t="s">
        <v>16</v>
      </c>
      <c r="AY21" s="16" t="s">
        <v>15</v>
      </c>
      <c r="AZ21" s="16" t="s">
        <v>16</v>
      </c>
      <c r="BA21" s="22">
        <f t="shared" si="3"/>
        <v>0.4285714286</v>
      </c>
      <c r="BB21" s="16" t="s">
        <v>16</v>
      </c>
      <c r="BC21" s="16" t="s">
        <v>16</v>
      </c>
      <c r="BD21" s="16" t="s">
        <v>15</v>
      </c>
      <c r="BE21" s="16" t="s">
        <v>15</v>
      </c>
      <c r="BF21" s="16" t="s">
        <v>15</v>
      </c>
      <c r="BG21" s="16" t="s">
        <v>15</v>
      </c>
      <c r="BH21" s="16" t="s">
        <v>16</v>
      </c>
      <c r="BI21" s="16" t="s">
        <v>16</v>
      </c>
      <c r="BJ21" s="16" t="s">
        <v>16</v>
      </c>
      <c r="BK21" s="16" t="s">
        <v>15</v>
      </c>
      <c r="BL21" s="16" t="s">
        <v>16</v>
      </c>
      <c r="BM21" s="16" t="s">
        <v>15</v>
      </c>
      <c r="BN21" s="203" t="s">
        <v>15</v>
      </c>
      <c r="BO21" s="203" t="s">
        <v>15</v>
      </c>
      <c r="BP21" s="203" t="s">
        <v>16</v>
      </c>
      <c r="BQ21" s="203" t="s">
        <v>15</v>
      </c>
      <c r="BR21" s="203" t="s">
        <v>15</v>
      </c>
      <c r="BS21" s="203" t="s">
        <v>15</v>
      </c>
      <c r="BT21" s="203" t="s">
        <v>15</v>
      </c>
      <c r="BU21" s="16" t="s">
        <v>16</v>
      </c>
      <c r="BV21" s="203" t="s">
        <v>15</v>
      </c>
      <c r="BW21" s="203" t="s">
        <v>16</v>
      </c>
      <c r="BX21" s="22">
        <f t="shared" si="4"/>
        <v>0.5909090909</v>
      </c>
      <c r="BY21" s="16" t="s">
        <v>15</v>
      </c>
    </row>
    <row r="22">
      <c r="A22" s="24">
        <v>18.0</v>
      </c>
      <c r="B22" s="227"/>
      <c r="C22" s="113"/>
      <c r="D22" s="16" t="s">
        <v>15</v>
      </c>
      <c r="E22" s="16" t="s">
        <v>15</v>
      </c>
      <c r="F22" s="154" t="s">
        <v>15</v>
      </c>
      <c r="G22" s="16" t="s">
        <v>15</v>
      </c>
      <c r="H22" s="16" t="s">
        <v>15</v>
      </c>
      <c r="I22" s="16" t="s">
        <v>15</v>
      </c>
      <c r="J22" s="16" t="s">
        <v>15</v>
      </c>
      <c r="K22" s="16" t="s">
        <v>15</v>
      </c>
      <c r="L22" s="154" t="s">
        <v>16</v>
      </c>
      <c r="M22" s="16" t="s">
        <v>15</v>
      </c>
      <c r="N22" s="16" t="s">
        <v>15</v>
      </c>
      <c r="O22" s="16" t="s">
        <v>16</v>
      </c>
      <c r="P22" s="16" t="s">
        <v>16</v>
      </c>
      <c r="Q22" s="16" t="s">
        <v>15</v>
      </c>
      <c r="R22" s="16" t="s">
        <v>16</v>
      </c>
      <c r="S22" s="39" t="s">
        <v>15</v>
      </c>
      <c r="T22" s="29" t="s">
        <v>16</v>
      </c>
      <c r="U22" s="16" t="s">
        <v>15</v>
      </c>
      <c r="V22" s="90" t="s">
        <v>15</v>
      </c>
      <c r="W22" s="90" t="s">
        <v>15</v>
      </c>
      <c r="X22" s="22">
        <f t="shared" si="1"/>
        <v>0.75</v>
      </c>
      <c r="Y22" s="90" t="s">
        <v>15</v>
      </c>
      <c r="Z22" s="29" t="s">
        <v>16</v>
      </c>
      <c r="AA22" s="16" t="s">
        <v>15</v>
      </c>
      <c r="AB22" s="154" t="s">
        <v>15</v>
      </c>
      <c r="AC22" s="154" t="s">
        <v>15</v>
      </c>
      <c r="AD22" s="16" t="s">
        <v>16</v>
      </c>
      <c r="AE22" s="154" t="s">
        <v>15</v>
      </c>
      <c r="AF22" s="154" t="s">
        <v>15</v>
      </c>
      <c r="AG22" s="154" t="s">
        <v>15</v>
      </c>
      <c r="AH22" s="154" t="s">
        <v>16</v>
      </c>
      <c r="AI22" s="154" t="s">
        <v>16</v>
      </c>
      <c r="AJ22" s="154" t="s">
        <v>15</v>
      </c>
      <c r="AK22" s="16" t="s">
        <v>15</v>
      </c>
      <c r="AL22" s="154" t="s">
        <v>15</v>
      </c>
      <c r="AM22" s="154" t="s">
        <v>16</v>
      </c>
      <c r="AN22" s="154" t="s">
        <v>16</v>
      </c>
      <c r="AO22" s="154" t="s">
        <v>15</v>
      </c>
      <c r="AP22" s="16" t="s">
        <v>15</v>
      </c>
      <c r="AQ22" s="16" t="s">
        <v>15</v>
      </c>
      <c r="AR22" s="16" t="s">
        <v>15</v>
      </c>
      <c r="AS22" s="22">
        <f t="shared" si="2"/>
        <v>0.7</v>
      </c>
      <c r="AT22" s="16" t="s">
        <v>15</v>
      </c>
      <c r="AU22" s="154" t="s">
        <v>15</v>
      </c>
      <c r="AV22" s="16" t="s">
        <v>15</v>
      </c>
      <c r="AW22" s="16" t="s">
        <v>15</v>
      </c>
      <c r="AX22" s="16" t="s">
        <v>16</v>
      </c>
      <c r="AY22" s="16" t="s">
        <v>15</v>
      </c>
      <c r="AZ22" s="16" t="s">
        <v>15</v>
      </c>
      <c r="BA22" s="22">
        <f t="shared" si="3"/>
        <v>0.8571428571</v>
      </c>
      <c r="BB22" s="16" t="s">
        <v>15</v>
      </c>
      <c r="BC22" s="16" t="s">
        <v>15</v>
      </c>
      <c r="BD22" s="16" t="s">
        <v>15</v>
      </c>
      <c r="BE22" s="16" t="s">
        <v>16</v>
      </c>
      <c r="BF22" s="16" t="s">
        <v>15</v>
      </c>
      <c r="BG22" s="16" t="s">
        <v>15</v>
      </c>
      <c r="BH22" s="16" t="s">
        <v>16</v>
      </c>
      <c r="BI22" s="16" t="s">
        <v>15</v>
      </c>
      <c r="BJ22" s="16" t="s">
        <v>15</v>
      </c>
      <c r="BK22" s="16" t="s">
        <v>15</v>
      </c>
      <c r="BL22" s="16" t="s">
        <v>15</v>
      </c>
      <c r="BM22" s="16" t="s">
        <v>15</v>
      </c>
      <c r="BN22" s="21" t="s">
        <v>15</v>
      </c>
      <c r="BO22" s="203" t="s">
        <v>15</v>
      </c>
      <c r="BP22" s="203" t="s">
        <v>15</v>
      </c>
      <c r="BQ22" s="203" t="s">
        <v>15</v>
      </c>
      <c r="BR22" s="203" t="s">
        <v>15</v>
      </c>
      <c r="BS22" s="203" t="s">
        <v>15</v>
      </c>
      <c r="BT22" s="203" t="s">
        <v>15</v>
      </c>
      <c r="BU22" s="203" t="s">
        <v>15</v>
      </c>
      <c r="BV22" s="203" t="s">
        <v>15</v>
      </c>
      <c r="BW22" s="203" t="s">
        <v>15</v>
      </c>
      <c r="BX22" s="22">
        <f t="shared" si="4"/>
        <v>0.9090909091</v>
      </c>
      <c r="BY22" s="203" t="s">
        <v>15</v>
      </c>
    </row>
    <row r="23">
      <c r="A23" s="24">
        <v>19.0</v>
      </c>
      <c r="B23" s="57"/>
      <c r="C23" s="153"/>
      <c r="D23" s="16" t="s">
        <v>15</v>
      </c>
      <c r="E23" s="16" t="s">
        <v>15</v>
      </c>
      <c r="F23" s="16" t="s">
        <v>15</v>
      </c>
      <c r="G23" s="16" t="s">
        <v>16</v>
      </c>
      <c r="H23" s="16" t="s">
        <v>16</v>
      </c>
      <c r="I23" s="16" t="s">
        <v>15</v>
      </c>
      <c r="J23" s="16" t="s">
        <v>15</v>
      </c>
      <c r="K23" s="16" t="s">
        <v>15</v>
      </c>
      <c r="L23" s="16" t="s">
        <v>15</v>
      </c>
      <c r="M23" s="16" t="s">
        <v>15</v>
      </c>
      <c r="N23" s="16" t="s">
        <v>16</v>
      </c>
      <c r="O23" s="16" t="s">
        <v>15</v>
      </c>
      <c r="P23" s="16" t="s">
        <v>15</v>
      </c>
      <c r="Q23" s="16" t="s">
        <v>16</v>
      </c>
      <c r="R23" s="16" t="s">
        <v>16</v>
      </c>
      <c r="S23" s="39" t="s">
        <v>15</v>
      </c>
      <c r="T23" s="39" t="s">
        <v>15</v>
      </c>
      <c r="U23" s="16" t="s">
        <v>15</v>
      </c>
      <c r="V23" s="90" t="s">
        <v>16</v>
      </c>
      <c r="W23" s="29" t="s">
        <v>15</v>
      </c>
      <c r="X23" s="22">
        <f t="shared" si="1"/>
        <v>0.7</v>
      </c>
      <c r="Y23" s="90" t="s">
        <v>15</v>
      </c>
      <c r="Z23" s="39" t="s">
        <v>15</v>
      </c>
      <c r="AA23" s="16" t="s">
        <v>16</v>
      </c>
      <c r="AB23" s="16" t="s">
        <v>15</v>
      </c>
      <c r="AC23" s="16" t="s">
        <v>16</v>
      </c>
      <c r="AD23" s="154" t="s">
        <v>15</v>
      </c>
      <c r="AE23" s="16" t="s">
        <v>16</v>
      </c>
      <c r="AF23" s="16" t="s">
        <v>16</v>
      </c>
      <c r="AG23" s="16" t="s">
        <v>16</v>
      </c>
      <c r="AH23" s="16" t="s">
        <v>15</v>
      </c>
      <c r="AI23" s="16" t="s">
        <v>16</v>
      </c>
      <c r="AJ23" s="16" t="s">
        <v>15</v>
      </c>
      <c r="AK23" s="154" t="s">
        <v>16</v>
      </c>
      <c r="AL23" s="154" t="s">
        <v>15</v>
      </c>
      <c r="AM23" s="154" t="s">
        <v>15</v>
      </c>
      <c r="AN23" s="154" t="s">
        <v>16</v>
      </c>
      <c r="AO23" s="154" t="s">
        <v>15</v>
      </c>
      <c r="AP23" s="16" t="s">
        <v>16</v>
      </c>
      <c r="AQ23" s="16" t="s">
        <v>15</v>
      </c>
      <c r="AR23" s="16" t="s">
        <v>16</v>
      </c>
      <c r="AS23" s="22">
        <f t="shared" si="2"/>
        <v>0.5</v>
      </c>
      <c r="AT23" s="16" t="s">
        <v>15</v>
      </c>
      <c r="AU23" s="16" t="s">
        <v>15</v>
      </c>
      <c r="AV23" s="16" t="s">
        <v>15</v>
      </c>
      <c r="AW23" s="16" t="s">
        <v>15</v>
      </c>
      <c r="AX23" s="16" t="s">
        <v>16</v>
      </c>
      <c r="AY23" s="16" t="s">
        <v>16</v>
      </c>
      <c r="AZ23" s="16" t="s">
        <v>16</v>
      </c>
      <c r="BA23" s="22">
        <f t="shared" si="3"/>
        <v>0.5714285714</v>
      </c>
      <c r="BB23" s="16" t="s">
        <v>16</v>
      </c>
      <c r="BC23" s="16" t="s">
        <v>15</v>
      </c>
      <c r="BD23" s="16" t="s">
        <v>15</v>
      </c>
      <c r="BE23" s="16" t="s">
        <v>15</v>
      </c>
      <c r="BF23" s="16" t="s">
        <v>15</v>
      </c>
      <c r="BG23" s="16" t="s">
        <v>16</v>
      </c>
      <c r="BH23" s="16" t="s">
        <v>16</v>
      </c>
      <c r="BI23" s="16" t="s">
        <v>15</v>
      </c>
      <c r="BJ23" s="16" t="s">
        <v>16</v>
      </c>
      <c r="BK23" s="16" t="s">
        <v>16</v>
      </c>
      <c r="BL23" s="16" t="s">
        <v>16</v>
      </c>
      <c r="BM23" s="16" t="s">
        <v>15</v>
      </c>
      <c r="BN23" s="16" t="s">
        <v>16</v>
      </c>
      <c r="BO23" s="203" t="s">
        <v>15</v>
      </c>
      <c r="BP23" s="203" t="s">
        <v>16</v>
      </c>
      <c r="BQ23" s="203" t="s">
        <v>15</v>
      </c>
      <c r="BR23" s="203" t="s">
        <v>15</v>
      </c>
      <c r="BS23" s="203" t="s">
        <v>15</v>
      </c>
      <c r="BT23" s="203" t="s">
        <v>15</v>
      </c>
      <c r="BU23" s="203" t="s">
        <v>15</v>
      </c>
      <c r="BV23" s="16" t="s">
        <v>16</v>
      </c>
      <c r="BW23" s="16" t="s">
        <v>15</v>
      </c>
      <c r="BX23" s="22">
        <f t="shared" si="4"/>
        <v>0.5909090909</v>
      </c>
      <c r="BY23" s="16" t="s">
        <v>16</v>
      </c>
    </row>
    <row r="24">
      <c r="A24" s="24">
        <v>20.0</v>
      </c>
      <c r="B24" s="62"/>
      <c r="C24" s="88" t="s">
        <v>41</v>
      </c>
      <c r="D24" s="16" t="s">
        <v>15</v>
      </c>
      <c r="E24" s="16" t="s">
        <v>15</v>
      </c>
      <c r="F24" s="16" t="s">
        <v>15</v>
      </c>
      <c r="G24" s="16" t="s">
        <v>15</v>
      </c>
      <c r="H24" s="16" t="s">
        <v>15</v>
      </c>
      <c r="I24" s="16" t="s">
        <v>15</v>
      </c>
      <c r="J24" s="16" t="s">
        <v>15</v>
      </c>
      <c r="K24" s="16" t="s">
        <v>15</v>
      </c>
      <c r="L24" s="16" t="s">
        <v>15</v>
      </c>
      <c r="M24" s="16" t="s">
        <v>15</v>
      </c>
      <c r="N24" s="16" t="s">
        <v>15</v>
      </c>
      <c r="O24" s="16" t="s">
        <v>15</v>
      </c>
      <c r="P24" s="16" t="s">
        <v>15</v>
      </c>
      <c r="Q24" s="16" t="s">
        <v>15</v>
      </c>
      <c r="R24" s="16" t="s">
        <v>15</v>
      </c>
      <c r="S24" s="39" t="s">
        <v>15</v>
      </c>
      <c r="T24" s="39" t="s">
        <v>15</v>
      </c>
      <c r="U24" s="16" t="s">
        <v>15</v>
      </c>
      <c r="V24" s="90" t="s">
        <v>15</v>
      </c>
      <c r="W24" s="90" t="s">
        <v>15</v>
      </c>
      <c r="X24" s="22">
        <f t="shared" si="1"/>
        <v>1</v>
      </c>
      <c r="Y24" s="90" t="s">
        <v>15</v>
      </c>
      <c r="Z24" s="39" t="s">
        <v>15</v>
      </c>
      <c r="AA24" s="16" t="s">
        <v>15</v>
      </c>
      <c r="AB24" s="154" t="s">
        <v>15</v>
      </c>
      <c r="AC24" s="154" t="s">
        <v>15</v>
      </c>
      <c r="AD24" s="154" t="s">
        <v>15</v>
      </c>
      <c r="AE24" s="202" t="s">
        <v>15</v>
      </c>
      <c r="AF24" s="154" t="s">
        <v>15</v>
      </c>
      <c r="AG24" s="154" t="s">
        <v>15</v>
      </c>
      <c r="AH24" s="154" t="s">
        <v>15</v>
      </c>
      <c r="AI24" s="154" t="s">
        <v>15</v>
      </c>
      <c r="AJ24" s="154" t="s">
        <v>15</v>
      </c>
      <c r="AK24" s="154" t="s">
        <v>15</v>
      </c>
      <c r="AL24" s="154" t="s">
        <v>15</v>
      </c>
      <c r="AM24" s="154" t="s">
        <v>15</v>
      </c>
      <c r="AN24" s="154" t="s">
        <v>16</v>
      </c>
      <c r="AO24" s="154" t="s">
        <v>15</v>
      </c>
      <c r="AP24" s="16" t="s">
        <v>15</v>
      </c>
      <c r="AQ24" s="16" t="s">
        <v>16</v>
      </c>
      <c r="AR24" s="16" t="s">
        <v>16</v>
      </c>
      <c r="AS24" s="22">
        <f t="shared" si="2"/>
        <v>0.85</v>
      </c>
      <c r="AT24" s="16" t="s">
        <v>16</v>
      </c>
      <c r="AU24" s="154" t="s">
        <v>16</v>
      </c>
      <c r="AV24" s="16" t="s">
        <v>15</v>
      </c>
      <c r="AW24" s="16" t="s">
        <v>15</v>
      </c>
      <c r="AX24" s="16" t="s">
        <v>15</v>
      </c>
      <c r="AY24" s="16" t="s">
        <v>15</v>
      </c>
      <c r="AZ24" s="16" t="s">
        <v>15</v>
      </c>
      <c r="BA24" s="22">
        <f t="shared" si="3"/>
        <v>0.7142857143</v>
      </c>
      <c r="BB24" s="16" t="s">
        <v>15</v>
      </c>
      <c r="BC24" s="16" t="s">
        <v>15</v>
      </c>
      <c r="BD24" s="16" t="s">
        <v>15</v>
      </c>
      <c r="BE24" s="16" t="s">
        <v>15</v>
      </c>
      <c r="BF24" s="16" t="s">
        <v>15</v>
      </c>
      <c r="BG24" s="16" t="s">
        <v>15</v>
      </c>
      <c r="BH24" s="16" t="s">
        <v>15</v>
      </c>
      <c r="BI24" s="16" t="s">
        <v>15</v>
      </c>
      <c r="BJ24" s="16" t="s">
        <v>15</v>
      </c>
      <c r="BK24" s="16" t="s">
        <v>16</v>
      </c>
      <c r="BL24" s="16" t="s">
        <v>15</v>
      </c>
      <c r="BM24" s="16" t="s">
        <v>15</v>
      </c>
      <c r="BN24" s="21" t="s">
        <v>15</v>
      </c>
      <c r="BO24" s="203" t="s">
        <v>15</v>
      </c>
      <c r="BP24" s="203" t="s">
        <v>15</v>
      </c>
      <c r="BQ24" s="203" t="s">
        <v>15</v>
      </c>
      <c r="BR24" s="203" t="s">
        <v>15</v>
      </c>
      <c r="BS24" s="203" t="s">
        <v>15</v>
      </c>
      <c r="BT24" s="203" t="s">
        <v>15</v>
      </c>
      <c r="BU24" s="16" t="s">
        <v>16</v>
      </c>
      <c r="BV24" s="16" t="s">
        <v>16</v>
      </c>
      <c r="BW24" s="16" t="s">
        <v>15</v>
      </c>
      <c r="BX24" s="22">
        <f t="shared" si="4"/>
        <v>0.8636363636</v>
      </c>
      <c r="BY24" s="16" t="s">
        <v>15</v>
      </c>
    </row>
    <row r="25">
      <c r="A25" s="24">
        <v>21.0</v>
      </c>
      <c r="B25" s="25"/>
      <c r="C25" s="58"/>
      <c r="D25" s="16" t="s">
        <v>15</v>
      </c>
      <c r="E25" s="16" t="s">
        <v>15</v>
      </c>
      <c r="F25" s="16" t="s">
        <v>15</v>
      </c>
      <c r="G25" s="16" t="s">
        <v>15</v>
      </c>
      <c r="H25" s="16" t="s">
        <v>15</v>
      </c>
      <c r="I25" s="16" t="s">
        <v>15</v>
      </c>
      <c r="J25" s="16" t="s">
        <v>15</v>
      </c>
      <c r="K25" s="16" t="s">
        <v>15</v>
      </c>
      <c r="L25" s="16" t="s">
        <v>15</v>
      </c>
      <c r="M25" s="16" t="s">
        <v>15</v>
      </c>
      <c r="N25" s="16" t="s">
        <v>15</v>
      </c>
      <c r="O25" s="16" t="s">
        <v>15</v>
      </c>
      <c r="P25" s="16" t="s">
        <v>15</v>
      </c>
      <c r="Q25" s="16" t="s">
        <v>15</v>
      </c>
      <c r="R25" s="16" t="s">
        <v>15</v>
      </c>
      <c r="S25" s="70" t="s">
        <v>16</v>
      </c>
      <c r="T25" s="39" t="s">
        <v>15</v>
      </c>
      <c r="U25" s="16" t="s">
        <v>16</v>
      </c>
      <c r="V25" s="90" t="s">
        <v>16</v>
      </c>
      <c r="W25" s="90" t="s">
        <v>15</v>
      </c>
      <c r="X25" s="22">
        <f t="shared" si="1"/>
        <v>0.85</v>
      </c>
      <c r="Y25" s="29" t="s">
        <v>16</v>
      </c>
      <c r="Z25" s="39" t="s">
        <v>15</v>
      </c>
      <c r="AA25" s="16" t="s">
        <v>15</v>
      </c>
      <c r="AB25" s="154" t="s">
        <v>15</v>
      </c>
      <c r="AC25" s="154" t="s">
        <v>15</v>
      </c>
      <c r="AD25" s="154" t="s">
        <v>15</v>
      </c>
      <c r="AE25" s="202" t="s">
        <v>15</v>
      </c>
      <c r="AF25" s="154" t="s">
        <v>15</v>
      </c>
      <c r="AG25" s="154" t="s">
        <v>15</v>
      </c>
      <c r="AH25" s="154" t="s">
        <v>15</v>
      </c>
      <c r="AI25" s="154" t="s">
        <v>15</v>
      </c>
      <c r="AJ25" s="154" t="s">
        <v>15</v>
      </c>
      <c r="AK25" s="154" t="s">
        <v>15</v>
      </c>
      <c r="AL25" s="154" t="s">
        <v>15</v>
      </c>
      <c r="AM25" s="154" t="s">
        <v>15</v>
      </c>
      <c r="AN25" s="154" t="s">
        <v>15</v>
      </c>
      <c r="AO25" s="154" t="s">
        <v>15</v>
      </c>
      <c r="AP25" s="16" t="s">
        <v>15</v>
      </c>
      <c r="AQ25" s="16" t="s">
        <v>15</v>
      </c>
      <c r="AR25" s="16" t="s">
        <v>15</v>
      </c>
      <c r="AS25" s="22">
        <f t="shared" si="2"/>
        <v>0.95</v>
      </c>
      <c r="AT25" s="16" t="s">
        <v>15</v>
      </c>
      <c r="AU25" s="154" t="s">
        <v>15</v>
      </c>
      <c r="AV25" s="16" t="s">
        <v>15</v>
      </c>
      <c r="AW25" s="16" t="s">
        <v>15</v>
      </c>
      <c r="AX25" s="16" t="s">
        <v>16</v>
      </c>
      <c r="AY25" s="16" t="s">
        <v>15</v>
      </c>
      <c r="AZ25" s="16" t="s">
        <v>15</v>
      </c>
      <c r="BA25" s="22">
        <f t="shared" si="3"/>
        <v>0.8571428571</v>
      </c>
      <c r="BB25" s="16" t="s">
        <v>15</v>
      </c>
      <c r="BC25" s="16" t="s">
        <v>15</v>
      </c>
      <c r="BD25" s="16" t="s">
        <v>15</v>
      </c>
      <c r="BE25" s="16" t="s">
        <v>15</v>
      </c>
      <c r="BF25" s="16" t="s">
        <v>15</v>
      </c>
      <c r="BG25" s="16" t="s">
        <v>15</v>
      </c>
      <c r="BH25" s="16" t="s">
        <v>15</v>
      </c>
      <c r="BI25" s="16" t="s">
        <v>16</v>
      </c>
      <c r="BJ25" s="16" t="s">
        <v>15</v>
      </c>
      <c r="BK25" s="16" t="s">
        <v>15</v>
      </c>
      <c r="BL25" s="16" t="s">
        <v>15</v>
      </c>
      <c r="BM25" s="16" t="s">
        <v>15</v>
      </c>
      <c r="BN25" s="21" t="s">
        <v>15</v>
      </c>
      <c r="BO25" s="203" t="s">
        <v>15</v>
      </c>
      <c r="BP25" s="203" t="s">
        <v>15</v>
      </c>
      <c r="BQ25" s="203" t="s">
        <v>15</v>
      </c>
      <c r="BR25" s="203" t="s">
        <v>15</v>
      </c>
      <c r="BS25" s="203" t="s">
        <v>15</v>
      </c>
      <c r="BT25" s="203" t="s">
        <v>15</v>
      </c>
      <c r="BU25" s="203" t="s">
        <v>15</v>
      </c>
      <c r="BV25" s="203" t="s">
        <v>15</v>
      </c>
      <c r="BW25" s="203" t="s">
        <v>15</v>
      </c>
      <c r="BX25" s="22">
        <f t="shared" si="4"/>
        <v>0.9545454545</v>
      </c>
      <c r="BY25" s="16" t="s">
        <v>16</v>
      </c>
    </row>
    <row r="26">
      <c r="A26" s="24">
        <v>22.0</v>
      </c>
      <c r="B26" s="81"/>
      <c r="C26" s="113"/>
      <c r="D26" s="16" t="s">
        <v>15</v>
      </c>
      <c r="E26" s="16" t="s">
        <v>15</v>
      </c>
      <c r="F26" s="154" t="s">
        <v>15</v>
      </c>
      <c r="G26" s="154" t="s">
        <v>16</v>
      </c>
      <c r="H26" s="16" t="s">
        <v>16</v>
      </c>
      <c r="I26" s="16" t="s">
        <v>15</v>
      </c>
      <c r="J26" s="16" t="s">
        <v>15</v>
      </c>
      <c r="K26" s="16" t="s">
        <v>15</v>
      </c>
      <c r="L26" s="16" t="s">
        <v>15</v>
      </c>
      <c r="M26" s="16" t="s">
        <v>15</v>
      </c>
      <c r="N26" s="16" t="s">
        <v>15</v>
      </c>
      <c r="O26" s="16" t="s">
        <v>15</v>
      </c>
      <c r="P26" s="16" t="s">
        <v>15</v>
      </c>
      <c r="Q26" s="16" t="s">
        <v>16</v>
      </c>
      <c r="R26" s="16" t="s">
        <v>15</v>
      </c>
      <c r="S26" s="39" t="s">
        <v>15</v>
      </c>
      <c r="T26" s="29" t="s">
        <v>16</v>
      </c>
      <c r="U26" s="16" t="s">
        <v>15</v>
      </c>
      <c r="V26" s="90" t="s">
        <v>15</v>
      </c>
      <c r="W26" s="90" t="s">
        <v>16</v>
      </c>
      <c r="X26" s="22">
        <f t="shared" si="1"/>
        <v>0.75</v>
      </c>
      <c r="Y26" s="90" t="s">
        <v>15</v>
      </c>
      <c r="Z26" s="29" t="s">
        <v>15</v>
      </c>
      <c r="AA26" s="16" t="s">
        <v>15</v>
      </c>
      <c r="AB26" s="154" t="s">
        <v>16</v>
      </c>
      <c r="AC26" s="154" t="s">
        <v>15</v>
      </c>
      <c r="AD26" s="154" t="s">
        <v>15</v>
      </c>
      <c r="AE26" s="202" t="s">
        <v>15</v>
      </c>
      <c r="AF26" s="154" t="s">
        <v>16</v>
      </c>
      <c r="AG26" s="154" t="s">
        <v>15</v>
      </c>
      <c r="AH26" s="154" t="s">
        <v>15</v>
      </c>
      <c r="AI26" s="154" t="s">
        <v>15</v>
      </c>
      <c r="AJ26" s="154" t="s">
        <v>15</v>
      </c>
      <c r="AK26" s="154" t="s">
        <v>16</v>
      </c>
      <c r="AL26" s="154" t="s">
        <v>15</v>
      </c>
      <c r="AM26" s="154" t="s">
        <v>15</v>
      </c>
      <c r="AN26" s="154" t="s">
        <v>16</v>
      </c>
      <c r="AO26" s="154" t="s">
        <v>15</v>
      </c>
      <c r="AP26" s="16" t="s">
        <v>16</v>
      </c>
      <c r="AQ26" s="16" t="s">
        <v>15</v>
      </c>
      <c r="AR26" s="16" t="s">
        <v>15</v>
      </c>
      <c r="AS26" s="22">
        <f t="shared" si="2"/>
        <v>0.75</v>
      </c>
      <c r="AT26" s="16" t="s">
        <v>15</v>
      </c>
      <c r="AU26" s="154" t="s">
        <v>15</v>
      </c>
      <c r="AV26" s="16" t="s">
        <v>15</v>
      </c>
      <c r="AW26" s="16" t="s">
        <v>15</v>
      </c>
      <c r="AX26" s="16" t="s">
        <v>15</v>
      </c>
      <c r="AY26" s="16" t="s">
        <v>15</v>
      </c>
      <c r="AZ26" s="16" t="s">
        <v>15</v>
      </c>
      <c r="BA26" s="22">
        <f t="shared" si="3"/>
        <v>1</v>
      </c>
      <c r="BB26" s="16" t="s">
        <v>15</v>
      </c>
      <c r="BC26" s="16" t="s">
        <v>16</v>
      </c>
      <c r="BD26" s="16" t="s">
        <v>15</v>
      </c>
      <c r="BE26" s="16" t="s">
        <v>15</v>
      </c>
      <c r="BF26" s="16" t="s">
        <v>15</v>
      </c>
      <c r="BG26" s="16" t="s">
        <v>16</v>
      </c>
      <c r="BH26" s="16" t="s">
        <v>15</v>
      </c>
      <c r="BI26" s="154" t="s">
        <v>15</v>
      </c>
      <c r="BJ26" s="154" t="s">
        <v>16</v>
      </c>
      <c r="BK26" s="154" t="s">
        <v>15</v>
      </c>
      <c r="BL26" s="154" t="s">
        <v>15</v>
      </c>
      <c r="BM26" s="154" t="s">
        <v>15</v>
      </c>
      <c r="BN26" s="204" t="s">
        <v>15</v>
      </c>
      <c r="BO26" s="203" t="s">
        <v>15</v>
      </c>
      <c r="BP26" s="203" t="s">
        <v>16</v>
      </c>
      <c r="BQ26" s="203" t="s">
        <v>15</v>
      </c>
      <c r="BR26" s="203" t="s">
        <v>15</v>
      </c>
      <c r="BS26" s="203" t="s">
        <v>15</v>
      </c>
      <c r="BT26" s="203" t="s">
        <v>15</v>
      </c>
      <c r="BU26" s="203" t="s">
        <v>15</v>
      </c>
      <c r="BV26" s="203" t="s">
        <v>15</v>
      </c>
      <c r="BW26" s="203" t="s">
        <v>15</v>
      </c>
      <c r="BX26" s="22">
        <f t="shared" si="4"/>
        <v>0.8181818182</v>
      </c>
      <c r="BY26" s="203" t="s">
        <v>15</v>
      </c>
    </row>
    <row r="27">
      <c r="A27" s="24">
        <v>23.0</v>
      </c>
      <c r="B27" s="25"/>
      <c r="C27" s="63"/>
      <c r="D27" s="16" t="s">
        <v>15</v>
      </c>
      <c r="E27" s="16" t="s">
        <v>15</v>
      </c>
      <c r="F27" s="154" t="s">
        <v>15</v>
      </c>
      <c r="G27" s="16" t="s">
        <v>15</v>
      </c>
      <c r="H27" s="16" t="s">
        <v>15</v>
      </c>
      <c r="I27" s="16" t="s">
        <v>15</v>
      </c>
      <c r="J27" s="16" t="s">
        <v>15</v>
      </c>
      <c r="K27" s="16" t="s">
        <v>15</v>
      </c>
      <c r="L27" s="16" t="s">
        <v>15</v>
      </c>
      <c r="M27" s="16" t="s">
        <v>16</v>
      </c>
      <c r="N27" s="16" t="s">
        <v>15</v>
      </c>
      <c r="O27" s="16" t="s">
        <v>15</v>
      </c>
      <c r="P27" s="16" t="s">
        <v>15</v>
      </c>
      <c r="Q27" s="16" t="s">
        <v>15</v>
      </c>
      <c r="R27" s="16" t="s">
        <v>15</v>
      </c>
      <c r="S27" s="39" t="s">
        <v>15</v>
      </c>
      <c r="T27" s="39" t="s">
        <v>15</v>
      </c>
      <c r="U27" s="16" t="s">
        <v>15</v>
      </c>
      <c r="V27" s="90" t="s">
        <v>15</v>
      </c>
      <c r="W27" s="90" t="s">
        <v>15</v>
      </c>
      <c r="X27" s="22">
        <f t="shared" si="1"/>
        <v>0.95</v>
      </c>
      <c r="Y27" s="90" t="s">
        <v>15</v>
      </c>
      <c r="Z27" s="39" t="s">
        <v>15</v>
      </c>
      <c r="AA27" s="16" t="s">
        <v>15</v>
      </c>
      <c r="AB27" s="16" t="s">
        <v>15</v>
      </c>
      <c r="AC27" s="16" t="s">
        <v>15</v>
      </c>
      <c r="AD27" s="154" t="s">
        <v>15</v>
      </c>
      <c r="AE27" s="16" t="s">
        <v>16</v>
      </c>
      <c r="AF27" s="16" t="s">
        <v>16</v>
      </c>
      <c r="AG27" s="16" t="s">
        <v>16</v>
      </c>
      <c r="AH27" s="16" t="s">
        <v>15</v>
      </c>
      <c r="AI27" s="16" t="s">
        <v>15</v>
      </c>
      <c r="AJ27" s="16" t="s">
        <v>15</v>
      </c>
      <c r="AK27" s="154" t="s">
        <v>15</v>
      </c>
      <c r="AL27" s="16" t="s">
        <v>16</v>
      </c>
      <c r="AM27" s="16" t="s">
        <v>15</v>
      </c>
      <c r="AN27" s="16" t="s">
        <v>15</v>
      </c>
      <c r="AO27" s="16" t="s">
        <v>15</v>
      </c>
      <c r="AP27" s="16" t="s">
        <v>15</v>
      </c>
      <c r="AQ27" s="16" t="s">
        <v>15</v>
      </c>
      <c r="AR27" s="16" t="s">
        <v>15</v>
      </c>
      <c r="AS27" s="22">
        <f t="shared" si="2"/>
        <v>0.8</v>
      </c>
      <c r="AT27" s="16" t="s">
        <v>15</v>
      </c>
      <c r="AU27" s="16" t="s">
        <v>15</v>
      </c>
      <c r="AV27" s="16" t="s">
        <v>15</v>
      </c>
      <c r="AW27" s="16" t="s">
        <v>15</v>
      </c>
      <c r="AX27" s="16" t="s">
        <v>15</v>
      </c>
      <c r="AY27" s="16" t="s">
        <v>15</v>
      </c>
      <c r="AZ27" s="16" t="s">
        <v>15</v>
      </c>
      <c r="BA27" s="22">
        <f t="shared" si="3"/>
        <v>1</v>
      </c>
      <c r="BB27" s="16" t="s">
        <v>15</v>
      </c>
      <c r="BC27" s="16" t="s">
        <v>15</v>
      </c>
      <c r="BD27" s="16" t="s">
        <v>15</v>
      </c>
      <c r="BE27" s="16" t="s">
        <v>15</v>
      </c>
      <c r="BF27" s="16" t="s">
        <v>15</v>
      </c>
      <c r="BG27" s="16" t="s">
        <v>15</v>
      </c>
      <c r="BH27" s="16" t="s">
        <v>15</v>
      </c>
      <c r="BI27" s="16" t="s">
        <v>15</v>
      </c>
      <c r="BJ27" s="16" t="s">
        <v>15</v>
      </c>
      <c r="BK27" s="16" t="s">
        <v>15</v>
      </c>
      <c r="BL27" s="16" t="s">
        <v>15</v>
      </c>
      <c r="BM27" s="16" t="s">
        <v>15</v>
      </c>
      <c r="BN27" s="203" t="s">
        <v>15</v>
      </c>
      <c r="BO27" s="203" t="s">
        <v>15</v>
      </c>
      <c r="BP27" s="203" t="s">
        <v>15</v>
      </c>
      <c r="BQ27" s="203" t="s">
        <v>15</v>
      </c>
      <c r="BR27" s="203" t="s">
        <v>16</v>
      </c>
      <c r="BS27" s="203" t="s">
        <v>15</v>
      </c>
      <c r="BT27" s="203" t="s">
        <v>15</v>
      </c>
      <c r="BU27" s="203" t="s">
        <v>15</v>
      </c>
      <c r="BV27" s="203" t="s">
        <v>15</v>
      </c>
      <c r="BW27" s="203" t="s">
        <v>15</v>
      </c>
      <c r="BX27" s="22">
        <f t="shared" si="4"/>
        <v>0.9545454545</v>
      </c>
      <c r="BY27" s="203" t="s">
        <v>15</v>
      </c>
    </row>
    <row r="28">
      <c r="A28" s="24">
        <v>24.0</v>
      </c>
      <c r="B28" s="62"/>
      <c r="C28" s="113"/>
      <c r="D28" s="16" t="s">
        <v>15</v>
      </c>
      <c r="E28" s="16" t="s">
        <v>15</v>
      </c>
      <c r="F28" s="154" t="s">
        <v>15</v>
      </c>
      <c r="G28" s="16" t="s">
        <v>15</v>
      </c>
      <c r="H28" s="16" t="s">
        <v>15</v>
      </c>
      <c r="I28" s="16" t="s">
        <v>15</v>
      </c>
      <c r="J28" s="16" t="s">
        <v>15</v>
      </c>
      <c r="K28" s="16" t="s">
        <v>15</v>
      </c>
      <c r="L28" s="16" t="s">
        <v>15</v>
      </c>
      <c r="M28" s="16" t="s">
        <v>15</v>
      </c>
      <c r="N28" s="16" t="s">
        <v>15</v>
      </c>
      <c r="O28" s="16" t="s">
        <v>15</v>
      </c>
      <c r="P28" s="16" t="s">
        <v>15</v>
      </c>
      <c r="Q28" s="16" t="s">
        <v>15</v>
      </c>
      <c r="R28" s="16" t="s">
        <v>15</v>
      </c>
      <c r="S28" s="39" t="s">
        <v>15</v>
      </c>
      <c r="T28" s="39" t="s">
        <v>15</v>
      </c>
      <c r="U28" s="16" t="s">
        <v>15</v>
      </c>
      <c r="V28" s="90" t="s">
        <v>15</v>
      </c>
      <c r="W28" s="90" t="s">
        <v>15</v>
      </c>
      <c r="X28" s="22">
        <f t="shared" si="1"/>
        <v>1</v>
      </c>
      <c r="Y28" s="90" t="s">
        <v>15</v>
      </c>
      <c r="Z28" s="39" t="s">
        <v>15</v>
      </c>
      <c r="AA28" s="16" t="s">
        <v>15</v>
      </c>
      <c r="AB28" s="16" t="s">
        <v>15</v>
      </c>
      <c r="AC28" s="16" t="s">
        <v>15</v>
      </c>
      <c r="AD28" s="154" t="s">
        <v>15</v>
      </c>
      <c r="AE28" s="203" t="s">
        <v>15</v>
      </c>
      <c r="AF28" s="16" t="s">
        <v>15</v>
      </c>
      <c r="AG28" s="16" t="s">
        <v>15</v>
      </c>
      <c r="AH28" s="16" t="s">
        <v>15</v>
      </c>
      <c r="AI28" s="16" t="s">
        <v>16</v>
      </c>
      <c r="AJ28" s="16" t="s">
        <v>15</v>
      </c>
      <c r="AK28" s="154" t="s">
        <v>16</v>
      </c>
      <c r="AL28" s="154" t="s">
        <v>15</v>
      </c>
      <c r="AM28" s="154" t="s">
        <v>15</v>
      </c>
      <c r="AN28" s="154" t="s">
        <v>15</v>
      </c>
      <c r="AO28" s="154" t="s">
        <v>15</v>
      </c>
      <c r="AP28" s="16" t="s">
        <v>16</v>
      </c>
      <c r="AQ28" s="16" t="s">
        <v>16</v>
      </c>
      <c r="AR28" s="16" t="s">
        <v>16</v>
      </c>
      <c r="AS28" s="22">
        <f t="shared" si="2"/>
        <v>0.75</v>
      </c>
      <c r="AT28" s="16" t="s">
        <v>16</v>
      </c>
      <c r="AU28" s="16" t="s">
        <v>16</v>
      </c>
      <c r="AV28" s="16" t="s">
        <v>15</v>
      </c>
      <c r="AW28" s="16" t="s">
        <v>15</v>
      </c>
      <c r="AX28" s="16" t="s">
        <v>15</v>
      </c>
      <c r="AY28" s="16" t="s">
        <v>15</v>
      </c>
      <c r="AZ28" s="16" t="s">
        <v>15</v>
      </c>
      <c r="BA28" s="22">
        <f t="shared" si="3"/>
        <v>0.7142857143</v>
      </c>
      <c r="BB28" s="16" t="s">
        <v>15</v>
      </c>
      <c r="BC28" s="16" t="s">
        <v>15</v>
      </c>
      <c r="BD28" s="16" t="s">
        <v>15</v>
      </c>
      <c r="BE28" s="16" t="s">
        <v>16</v>
      </c>
      <c r="BF28" s="16" t="s">
        <v>15</v>
      </c>
      <c r="BG28" s="16" t="s">
        <v>15</v>
      </c>
      <c r="BH28" s="16" t="s">
        <v>16</v>
      </c>
      <c r="BI28" s="16" t="s">
        <v>15</v>
      </c>
      <c r="BJ28" s="16" t="s">
        <v>15</v>
      </c>
      <c r="BK28" s="16" t="s">
        <v>15</v>
      </c>
      <c r="BL28" s="16" t="s">
        <v>15</v>
      </c>
      <c r="BM28" s="16" t="s">
        <v>15</v>
      </c>
      <c r="BN28" s="21" t="s">
        <v>15</v>
      </c>
      <c r="BO28" s="203" t="s">
        <v>15</v>
      </c>
      <c r="BP28" s="203" t="s">
        <v>15</v>
      </c>
      <c r="BQ28" s="203" t="s">
        <v>15</v>
      </c>
      <c r="BR28" s="203" t="s">
        <v>15</v>
      </c>
      <c r="BS28" s="203" t="s">
        <v>15</v>
      </c>
      <c r="BT28" s="203" t="s">
        <v>15</v>
      </c>
      <c r="BU28" s="16" t="s">
        <v>16</v>
      </c>
      <c r="BV28" s="16" t="s">
        <v>16</v>
      </c>
      <c r="BW28" s="16" t="s">
        <v>15</v>
      </c>
      <c r="BX28" s="22">
        <f t="shared" si="4"/>
        <v>0.8181818182</v>
      </c>
      <c r="BY28" s="16" t="s">
        <v>16</v>
      </c>
    </row>
    <row r="29">
      <c r="A29" s="24">
        <v>25.0</v>
      </c>
      <c r="B29" s="25"/>
      <c r="C29" s="113"/>
      <c r="D29" s="16" t="s">
        <v>15</v>
      </c>
      <c r="E29" s="16" t="s">
        <v>15</v>
      </c>
      <c r="F29" s="154" t="s">
        <v>15</v>
      </c>
      <c r="G29" s="16" t="s">
        <v>15</v>
      </c>
      <c r="H29" s="16" t="s">
        <v>15</v>
      </c>
      <c r="I29" s="16" t="s">
        <v>15</v>
      </c>
      <c r="J29" s="16" t="s">
        <v>15</v>
      </c>
      <c r="K29" s="16" t="s">
        <v>15</v>
      </c>
      <c r="L29" s="16" t="s">
        <v>15</v>
      </c>
      <c r="M29" s="16" t="s">
        <v>15</v>
      </c>
      <c r="N29" s="16" t="s">
        <v>15</v>
      </c>
      <c r="O29" s="16" t="s">
        <v>15</v>
      </c>
      <c r="P29" s="16" t="s">
        <v>15</v>
      </c>
      <c r="Q29" s="16" t="s">
        <v>15</v>
      </c>
      <c r="R29" s="16" t="s">
        <v>15</v>
      </c>
      <c r="S29" s="39" t="s">
        <v>15</v>
      </c>
      <c r="T29" s="39" t="s">
        <v>15</v>
      </c>
      <c r="U29" s="16" t="s">
        <v>15</v>
      </c>
      <c r="V29" s="90" t="s">
        <v>15</v>
      </c>
      <c r="W29" s="90" t="s">
        <v>15</v>
      </c>
      <c r="X29" s="22">
        <f t="shared" si="1"/>
        <v>1</v>
      </c>
      <c r="Y29" s="90" t="s">
        <v>15</v>
      </c>
      <c r="Z29" s="39" t="s">
        <v>15</v>
      </c>
      <c r="AA29" s="16" t="s">
        <v>15</v>
      </c>
      <c r="AB29" s="16" t="s">
        <v>15</v>
      </c>
      <c r="AC29" s="16" t="s">
        <v>15</v>
      </c>
      <c r="AD29" s="16" t="s">
        <v>16</v>
      </c>
      <c r="AE29" s="16" t="s">
        <v>15</v>
      </c>
      <c r="AF29" s="16" t="s">
        <v>16</v>
      </c>
      <c r="AG29" s="16" t="s">
        <v>15</v>
      </c>
      <c r="AH29" s="16" t="s">
        <v>15</v>
      </c>
      <c r="AI29" s="16" t="s">
        <v>15</v>
      </c>
      <c r="AJ29" s="16" t="s">
        <v>15</v>
      </c>
      <c r="AK29" s="16" t="s">
        <v>16</v>
      </c>
      <c r="AL29" s="154" t="s">
        <v>15</v>
      </c>
      <c r="AM29" s="154" t="s">
        <v>15</v>
      </c>
      <c r="AN29" s="154" t="s">
        <v>16</v>
      </c>
      <c r="AO29" s="154" t="s">
        <v>15</v>
      </c>
      <c r="AP29" s="16" t="s">
        <v>15</v>
      </c>
      <c r="AQ29" s="16" t="s">
        <v>16</v>
      </c>
      <c r="AR29" s="16" t="s">
        <v>15</v>
      </c>
      <c r="AS29" s="22">
        <f t="shared" si="2"/>
        <v>0.75</v>
      </c>
      <c r="AT29" s="16" t="s">
        <v>15</v>
      </c>
      <c r="AU29" s="16" t="s">
        <v>15</v>
      </c>
      <c r="AV29" s="16" t="s">
        <v>15</v>
      </c>
      <c r="AW29" s="16" t="s">
        <v>15</v>
      </c>
      <c r="AX29" s="16" t="s">
        <v>15</v>
      </c>
      <c r="AY29" s="16" t="s">
        <v>16</v>
      </c>
      <c r="AZ29" s="16" t="s">
        <v>15</v>
      </c>
      <c r="BA29" s="22">
        <f t="shared" si="3"/>
        <v>0.8571428571</v>
      </c>
      <c r="BB29" s="16" t="s">
        <v>15</v>
      </c>
      <c r="BC29" s="16" t="s">
        <v>15</v>
      </c>
      <c r="BD29" s="16" t="s">
        <v>15</v>
      </c>
      <c r="BE29" s="16" t="s">
        <v>15</v>
      </c>
      <c r="BF29" s="16" t="s">
        <v>15</v>
      </c>
      <c r="BG29" s="16" t="s">
        <v>15</v>
      </c>
      <c r="BH29" s="16" t="s">
        <v>16</v>
      </c>
      <c r="BI29" s="16" t="s">
        <v>15</v>
      </c>
      <c r="BJ29" s="16" t="s">
        <v>15</v>
      </c>
      <c r="BK29" s="16" t="s">
        <v>16</v>
      </c>
      <c r="BL29" s="16" t="s">
        <v>15</v>
      </c>
      <c r="BM29" s="16" t="s">
        <v>15</v>
      </c>
      <c r="BN29" s="16" t="s">
        <v>16</v>
      </c>
      <c r="BO29" s="203" t="s">
        <v>15</v>
      </c>
      <c r="BP29" s="203" t="s">
        <v>15</v>
      </c>
      <c r="BQ29" s="203" t="s">
        <v>15</v>
      </c>
      <c r="BR29" s="203" t="s">
        <v>15</v>
      </c>
      <c r="BS29" s="203" t="s">
        <v>15</v>
      </c>
      <c r="BT29" s="203" t="s">
        <v>15</v>
      </c>
      <c r="BU29" s="16" t="s">
        <v>16</v>
      </c>
      <c r="BV29" s="16" t="s">
        <v>16</v>
      </c>
      <c r="BW29" s="16" t="s">
        <v>15</v>
      </c>
      <c r="BX29" s="22">
        <f t="shared" si="4"/>
        <v>0.7727272727</v>
      </c>
      <c r="BY29" s="16" t="s">
        <v>15</v>
      </c>
    </row>
    <row r="30">
      <c r="A30" s="24">
        <v>26.0</v>
      </c>
      <c r="B30" s="62"/>
      <c r="C30" s="113"/>
      <c r="D30" s="16" t="s">
        <v>15</v>
      </c>
      <c r="E30" s="16" t="s">
        <v>15</v>
      </c>
      <c r="F30" s="154" t="s">
        <v>15</v>
      </c>
      <c r="G30" s="16" t="s">
        <v>15</v>
      </c>
      <c r="H30" s="16" t="s">
        <v>16</v>
      </c>
      <c r="I30" s="16" t="s">
        <v>16</v>
      </c>
      <c r="J30" s="16" t="s">
        <v>15</v>
      </c>
      <c r="K30" s="16" t="s">
        <v>16</v>
      </c>
      <c r="L30" s="16" t="s">
        <v>15</v>
      </c>
      <c r="M30" s="16" t="s">
        <v>15</v>
      </c>
      <c r="N30" s="16" t="s">
        <v>15</v>
      </c>
      <c r="O30" s="16" t="s">
        <v>15</v>
      </c>
      <c r="P30" s="16" t="s">
        <v>15</v>
      </c>
      <c r="Q30" s="16" t="s">
        <v>15</v>
      </c>
      <c r="R30" s="16" t="s">
        <v>15</v>
      </c>
      <c r="S30" s="39" t="s">
        <v>15</v>
      </c>
      <c r="T30" s="39" t="s">
        <v>15</v>
      </c>
      <c r="U30" s="16" t="s">
        <v>15</v>
      </c>
      <c r="V30" s="90" t="s">
        <v>15</v>
      </c>
      <c r="W30" s="90" t="s">
        <v>16</v>
      </c>
      <c r="X30" s="22">
        <f t="shared" si="1"/>
        <v>0.8</v>
      </c>
      <c r="Y30" s="29" t="s">
        <v>16</v>
      </c>
      <c r="Z30" s="29" t="s">
        <v>15</v>
      </c>
      <c r="AA30" s="16" t="s">
        <v>15</v>
      </c>
      <c r="AB30" s="154" t="s">
        <v>15</v>
      </c>
      <c r="AC30" s="154" t="s">
        <v>15</v>
      </c>
      <c r="AD30" s="154" t="s">
        <v>15</v>
      </c>
      <c r="AE30" s="202" t="s">
        <v>15</v>
      </c>
      <c r="AF30" s="154" t="s">
        <v>15</v>
      </c>
      <c r="AG30" s="154" t="s">
        <v>15</v>
      </c>
      <c r="AH30" s="154" t="s">
        <v>15</v>
      </c>
      <c r="AI30" s="154" t="s">
        <v>15</v>
      </c>
      <c r="AJ30" s="154" t="s">
        <v>15</v>
      </c>
      <c r="AK30" s="154" t="s">
        <v>15</v>
      </c>
      <c r="AL30" s="154" t="s">
        <v>16</v>
      </c>
      <c r="AM30" s="154" t="s">
        <v>15</v>
      </c>
      <c r="AN30" s="154" t="s">
        <v>15</v>
      </c>
      <c r="AO30" s="154" t="s">
        <v>15</v>
      </c>
      <c r="AP30" s="16" t="s">
        <v>15</v>
      </c>
      <c r="AQ30" s="16" t="s">
        <v>15</v>
      </c>
      <c r="AR30" s="16" t="s">
        <v>15</v>
      </c>
      <c r="AS30" s="22">
        <f t="shared" si="2"/>
        <v>0.9</v>
      </c>
      <c r="AT30" s="16" t="s">
        <v>15</v>
      </c>
      <c r="AU30" s="154" t="s">
        <v>15</v>
      </c>
      <c r="AV30" s="16" t="s">
        <v>15</v>
      </c>
      <c r="AW30" s="16" t="s">
        <v>15</v>
      </c>
      <c r="AX30" s="16" t="s">
        <v>15</v>
      </c>
      <c r="AY30" s="16" t="s">
        <v>15</v>
      </c>
      <c r="AZ30" s="16" t="s">
        <v>15</v>
      </c>
      <c r="BA30" s="22">
        <f t="shared" si="3"/>
        <v>1</v>
      </c>
      <c r="BB30" s="16" t="s">
        <v>15</v>
      </c>
      <c r="BC30" s="16" t="s">
        <v>15</v>
      </c>
      <c r="BD30" s="16" t="s">
        <v>15</v>
      </c>
      <c r="BE30" s="16" t="s">
        <v>15</v>
      </c>
      <c r="BF30" s="16" t="s">
        <v>15</v>
      </c>
      <c r="BG30" s="16" t="s">
        <v>15</v>
      </c>
      <c r="BH30" s="16" t="s">
        <v>15</v>
      </c>
      <c r="BI30" s="16" t="s">
        <v>15</v>
      </c>
      <c r="BJ30" s="16" t="s">
        <v>15</v>
      </c>
      <c r="BK30" s="16" t="s">
        <v>15</v>
      </c>
      <c r="BL30" s="16" t="s">
        <v>16</v>
      </c>
      <c r="BM30" s="16" t="s">
        <v>15</v>
      </c>
      <c r="BN30" s="16" t="s">
        <v>16</v>
      </c>
      <c r="BO30" s="203" t="s">
        <v>15</v>
      </c>
      <c r="BP30" s="203" t="s">
        <v>15</v>
      </c>
      <c r="BQ30" s="203" t="s">
        <v>15</v>
      </c>
      <c r="BR30" s="203" t="s">
        <v>15</v>
      </c>
      <c r="BS30" s="203" t="s">
        <v>15</v>
      </c>
      <c r="BT30" s="203" t="s">
        <v>15</v>
      </c>
      <c r="BU30" s="16" t="s">
        <v>16</v>
      </c>
      <c r="BV30" s="16" t="s">
        <v>16</v>
      </c>
      <c r="BW30" s="16" t="s">
        <v>15</v>
      </c>
      <c r="BX30" s="22">
        <f t="shared" si="4"/>
        <v>0.8181818182</v>
      </c>
      <c r="BY30" s="16" t="s">
        <v>15</v>
      </c>
    </row>
    <row r="31">
      <c r="A31" s="24">
        <v>27.0</v>
      </c>
      <c r="B31" s="114"/>
      <c r="C31" s="63"/>
      <c r="D31" s="16" t="s">
        <v>15</v>
      </c>
      <c r="E31" s="16" t="s">
        <v>15</v>
      </c>
      <c r="F31" s="154" t="s">
        <v>15</v>
      </c>
      <c r="G31" s="16" t="s">
        <v>15</v>
      </c>
      <c r="H31" s="16" t="s">
        <v>15</v>
      </c>
      <c r="I31" s="16" t="s">
        <v>15</v>
      </c>
      <c r="J31" s="16" t="s">
        <v>15</v>
      </c>
      <c r="K31" s="16" t="s">
        <v>15</v>
      </c>
      <c r="L31" s="16" t="s">
        <v>15</v>
      </c>
      <c r="M31" s="16" t="s">
        <v>15</v>
      </c>
      <c r="N31" s="16" t="s">
        <v>15</v>
      </c>
      <c r="O31" s="16" t="s">
        <v>15</v>
      </c>
      <c r="P31" s="16" t="s">
        <v>15</v>
      </c>
      <c r="Q31" s="16" t="s">
        <v>16</v>
      </c>
      <c r="R31" s="16" t="s">
        <v>15</v>
      </c>
      <c r="S31" s="39" t="s">
        <v>15</v>
      </c>
      <c r="T31" s="39" t="s">
        <v>15</v>
      </c>
      <c r="U31" s="16" t="s">
        <v>15</v>
      </c>
      <c r="V31" s="90" t="s">
        <v>15</v>
      </c>
      <c r="W31" s="90" t="s">
        <v>15</v>
      </c>
      <c r="X31" s="22">
        <f t="shared" si="1"/>
        <v>0.95</v>
      </c>
      <c r="Y31" s="90" t="s">
        <v>15</v>
      </c>
      <c r="Z31" s="75" t="s">
        <v>15</v>
      </c>
      <c r="AA31" s="16" t="s">
        <v>15</v>
      </c>
      <c r="AB31" s="16" t="s">
        <v>16</v>
      </c>
      <c r="AC31" s="16" t="s">
        <v>15</v>
      </c>
      <c r="AD31" s="154" t="s">
        <v>15</v>
      </c>
      <c r="AE31" s="21" t="s">
        <v>15</v>
      </c>
      <c r="AF31" s="16" t="s">
        <v>15</v>
      </c>
      <c r="AG31" s="16" t="s">
        <v>15</v>
      </c>
      <c r="AH31" s="16" t="s">
        <v>15</v>
      </c>
      <c r="AI31" s="16" t="s">
        <v>15</v>
      </c>
      <c r="AJ31" s="16" t="s">
        <v>15</v>
      </c>
      <c r="AK31" s="154" t="s">
        <v>15</v>
      </c>
      <c r="AL31" s="154" t="s">
        <v>15</v>
      </c>
      <c r="AM31" s="154" t="s">
        <v>15</v>
      </c>
      <c r="AN31" s="154" t="s">
        <v>16</v>
      </c>
      <c r="AO31" s="154" t="s">
        <v>15</v>
      </c>
      <c r="AP31" s="16" t="s">
        <v>15</v>
      </c>
      <c r="AQ31" s="16" t="s">
        <v>15</v>
      </c>
      <c r="AR31" s="16" t="s">
        <v>15</v>
      </c>
      <c r="AS31" s="22">
        <f t="shared" si="2"/>
        <v>0.9</v>
      </c>
      <c r="AT31" s="16" t="s">
        <v>15</v>
      </c>
      <c r="AU31" s="16" t="s">
        <v>15</v>
      </c>
      <c r="AV31" s="16" t="s">
        <v>15</v>
      </c>
      <c r="AW31" s="16" t="s">
        <v>15</v>
      </c>
      <c r="AX31" s="16" t="s">
        <v>15</v>
      </c>
      <c r="AY31" s="16" t="s">
        <v>15</v>
      </c>
      <c r="AZ31" s="16" t="s">
        <v>15</v>
      </c>
      <c r="BA31" s="22">
        <f t="shared" si="3"/>
        <v>1</v>
      </c>
      <c r="BB31" s="16" t="s">
        <v>15</v>
      </c>
      <c r="BC31" s="16" t="s">
        <v>15</v>
      </c>
      <c r="BD31" s="16" t="s">
        <v>15</v>
      </c>
      <c r="BE31" s="16" t="s">
        <v>15</v>
      </c>
      <c r="BF31" s="16" t="s">
        <v>15</v>
      </c>
      <c r="BG31" s="16" t="s">
        <v>15</v>
      </c>
      <c r="BH31" s="16" t="s">
        <v>16</v>
      </c>
      <c r="BI31" s="16" t="s">
        <v>15</v>
      </c>
      <c r="BJ31" s="16" t="s">
        <v>15</v>
      </c>
      <c r="BK31" s="16" t="s">
        <v>15</v>
      </c>
      <c r="BL31" s="16" t="s">
        <v>16</v>
      </c>
      <c r="BM31" s="16" t="s">
        <v>15</v>
      </c>
      <c r="BN31" s="21" t="s">
        <v>15</v>
      </c>
      <c r="BO31" s="203" t="s">
        <v>15</v>
      </c>
      <c r="BP31" s="203" t="s">
        <v>15</v>
      </c>
      <c r="BQ31" s="203" t="s">
        <v>15</v>
      </c>
      <c r="BR31" s="203" t="s">
        <v>15</v>
      </c>
      <c r="BS31" s="203" t="s">
        <v>15</v>
      </c>
      <c r="BT31" s="203" t="s">
        <v>15</v>
      </c>
      <c r="BU31" s="203" t="s">
        <v>15</v>
      </c>
      <c r="BV31" s="16" t="s">
        <v>16</v>
      </c>
      <c r="BW31" s="16" t="s">
        <v>15</v>
      </c>
      <c r="BX31" s="22">
        <f t="shared" si="4"/>
        <v>0.8636363636</v>
      </c>
      <c r="BY31" s="16" t="s">
        <v>16</v>
      </c>
    </row>
    <row r="32">
      <c r="A32" s="24">
        <v>28.0</v>
      </c>
      <c r="B32" s="193"/>
      <c r="C32" s="198">
        <v>46232.0</v>
      </c>
      <c r="D32" s="16" t="s">
        <v>20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16" t="s">
        <v>20</v>
      </c>
      <c r="M32" s="16" t="s">
        <v>20</v>
      </c>
      <c r="N32" s="16" t="s">
        <v>20</v>
      </c>
      <c r="O32" s="16" t="s">
        <v>20</v>
      </c>
      <c r="P32" s="16" t="s">
        <v>20</v>
      </c>
      <c r="Q32" s="16" t="s">
        <v>20</v>
      </c>
      <c r="R32" s="16" t="s">
        <v>20</v>
      </c>
      <c r="S32" s="16" t="s">
        <v>20</v>
      </c>
      <c r="T32" s="16" t="s">
        <v>20</v>
      </c>
      <c r="U32" s="16" t="s">
        <v>20</v>
      </c>
      <c r="V32" s="16" t="s">
        <v>20</v>
      </c>
      <c r="W32" s="16" t="s">
        <v>20</v>
      </c>
      <c r="X32" s="22" t="str">
        <f t="shared" si="1"/>
        <v>0,00%</v>
      </c>
      <c r="Y32" s="16" t="s">
        <v>20</v>
      </c>
      <c r="Z32" s="16" t="s">
        <v>20</v>
      </c>
      <c r="AA32" s="16" t="s">
        <v>20</v>
      </c>
      <c r="AB32" s="16" t="s">
        <v>20</v>
      </c>
      <c r="AC32" s="16" t="s">
        <v>20</v>
      </c>
      <c r="AD32" s="16" t="s">
        <v>20</v>
      </c>
      <c r="AE32" s="16" t="s">
        <v>20</v>
      </c>
      <c r="AF32" s="16" t="s">
        <v>20</v>
      </c>
      <c r="AG32" s="16" t="s">
        <v>20</v>
      </c>
      <c r="AH32" s="16" t="s">
        <v>20</v>
      </c>
      <c r="AI32" s="16" t="s">
        <v>20</v>
      </c>
      <c r="AJ32" s="16" t="s">
        <v>20</v>
      </c>
      <c r="AK32" s="16" t="s">
        <v>20</v>
      </c>
      <c r="AL32" s="16" t="s">
        <v>20</v>
      </c>
      <c r="AM32" s="16" t="s">
        <v>20</v>
      </c>
      <c r="AN32" s="16" t="s">
        <v>20</v>
      </c>
      <c r="AO32" s="16" t="s">
        <v>20</v>
      </c>
      <c r="AP32" s="16" t="s">
        <v>20</v>
      </c>
      <c r="AQ32" s="16" t="s">
        <v>20</v>
      </c>
      <c r="AR32" s="16" t="s">
        <v>20</v>
      </c>
      <c r="AS32" s="22" t="str">
        <f t="shared" si="2"/>
        <v>0,00%</v>
      </c>
      <c r="AT32" s="16" t="s">
        <v>20</v>
      </c>
      <c r="AU32" s="16" t="s">
        <v>20</v>
      </c>
      <c r="AV32" s="16" t="s">
        <v>20</v>
      </c>
      <c r="AW32" s="16" t="s">
        <v>20</v>
      </c>
      <c r="AX32" s="16" t="s">
        <v>20</v>
      </c>
      <c r="AY32" s="16" t="s">
        <v>15</v>
      </c>
      <c r="AZ32" s="16" t="s">
        <v>15</v>
      </c>
      <c r="BA32" s="22">
        <f t="shared" si="3"/>
        <v>1</v>
      </c>
      <c r="BB32" s="16" t="s">
        <v>15</v>
      </c>
      <c r="BC32" s="16" t="s">
        <v>15</v>
      </c>
      <c r="BD32" s="16" t="s">
        <v>15</v>
      </c>
      <c r="BE32" s="16" t="s">
        <v>15</v>
      </c>
      <c r="BF32" s="16" t="s">
        <v>15</v>
      </c>
      <c r="BG32" s="16" t="s">
        <v>16</v>
      </c>
      <c r="BH32" s="16" t="s">
        <v>16</v>
      </c>
      <c r="BI32" s="16" t="s">
        <v>15</v>
      </c>
      <c r="BJ32" s="16" t="s">
        <v>15</v>
      </c>
      <c r="BK32" s="16" t="s">
        <v>15</v>
      </c>
      <c r="BL32" s="16" t="s">
        <v>16</v>
      </c>
      <c r="BM32" s="16" t="s">
        <v>15</v>
      </c>
      <c r="BN32" s="21" t="s">
        <v>15</v>
      </c>
      <c r="BO32" s="203" t="s">
        <v>15</v>
      </c>
      <c r="BP32" s="203" t="s">
        <v>15</v>
      </c>
      <c r="BQ32" s="203" t="s">
        <v>15</v>
      </c>
      <c r="BR32" s="203" t="s">
        <v>15</v>
      </c>
      <c r="BS32" s="203" t="s">
        <v>15</v>
      </c>
      <c r="BT32" s="203" t="s">
        <v>15</v>
      </c>
      <c r="BU32" s="203" t="s">
        <v>15</v>
      </c>
      <c r="BV32" s="16" t="s">
        <v>16</v>
      </c>
      <c r="BW32" s="16" t="s">
        <v>15</v>
      </c>
      <c r="BX32" s="22">
        <f t="shared" si="4"/>
        <v>0.8181818182</v>
      </c>
      <c r="BY32" s="16" t="s">
        <v>16</v>
      </c>
    </row>
    <row r="33">
      <c r="A33" s="6"/>
      <c r="B33" s="238"/>
      <c r="C33" s="194"/>
      <c r="D33" s="239"/>
      <c r="E33" s="240"/>
      <c r="F33" s="239"/>
      <c r="G33" s="239"/>
      <c r="H33" s="239"/>
      <c r="I33" s="239"/>
      <c r="J33" s="239"/>
      <c r="K33" s="239"/>
      <c r="L33" s="239"/>
      <c r="M33" s="239"/>
      <c r="N33" s="239"/>
      <c r="O33" s="239"/>
      <c r="P33" s="239"/>
      <c r="Q33" s="239"/>
      <c r="R33" s="239"/>
      <c r="S33" s="241"/>
      <c r="T33" s="241"/>
      <c r="U33" s="239"/>
      <c r="V33" s="242"/>
      <c r="W33" s="243"/>
    </row>
    <row r="34">
      <c r="A34" s="6"/>
      <c r="B34" s="244"/>
      <c r="E34" s="196" t="s">
        <v>28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95"/>
    </row>
    <row r="35">
      <c r="A35" s="6"/>
      <c r="E35" s="117" t="s">
        <v>58</v>
      </c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101"/>
    </row>
    <row r="36">
      <c r="A36" s="6"/>
      <c r="E36" s="117" t="s">
        <v>59</v>
      </c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101"/>
    </row>
    <row r="37">
      <c r="A37" s="6"/>
      <c r="E37" s="117" t="s">
        <v>60</v>
      </c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101"/>
    </row>
    <row r="38">
      <c r="A38" s="6"/>
      <c r="E38" s="117" t="s">
        <v>61</v>
      </c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101"/>
    </row>
    <row r="39">
      <c r="A39" s="6"/>
      <c r="E39" s="117" t="s">
        <v>62</v>
      </c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101"/>
    </row>
    <row r="40">
      <c r="A40" s="6"/>
      <c r="E40" s="117" t="s">
        <v>63</v>
      </c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101"/>
    </row>
    <row r="41">
      <c r="A41" s="6"/>
      <c r="E41" s="117" t="s">
        <v>64</v>
      </c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101"/>
    </row>
    <row r="42">
      <c r="A42" s="6"/>
      <c r="E42" s="117" t="s">
        <v>65</v>
      </c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101"/>
    </row>
    <row r="43">
      <c r="A43" s="6"/>
      <c r="E43" s="97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101"/>
    </row>
    <row r="44">
      <c r="A44" s="6"/>
      <c r="E44" s="97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101"/>
    </row>
    <row r="45">
      <c r="E45" s="97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101"/>
    </row>
  </sheetData>
  <mergeCells count="19">
    <mergeCell ref="D1:W3"/>
    <mergeCell ref="AT1:AZ3"/>
    <mergeCell ref="BB1:BW3"/>
    <mergeCell ref="X2:X3"/>
    <mergeCell ref="AS2:AS3"/>
    <mergeCell ref="BA2:BA3"/>
    <mergeCell ref="BX2:BX3"/>
    <mergeCell ref="E41:AS41"/>
    <mergeCell ref="E42:AS42"/>
    <mergeCell ref="E43:AS43"/>
    <mergeCell ref="E44:AS44"/>
    <mergeCell ref="E45:AS45"/>
    <mergeCell ref="Y1:AR3"/>
    <mergeCell ref="E35:AS35"/>
    <mergeCell ref="E36:AS36"/>
    <mergeCell ref="E37:AS37"/>
    <mergeCell ref="E38:AS38"/>
    <mergeCell ref="E39:AS39"/>
    <mergeCell ref="E40:AS40"/>
  </mergeCells>
  <conditionalFormatting sqref="D5:D32 E5:J36 K5:K32 L5:AE36 AF5:AF32 AG5:AS36 AT5:BE37 BF5:BW32 BY5:BY32">
    <cfRule type="cellIs" dxfId="3" priority="1" operator="equal">
      <formula>"P"</formula>
    </cfRule>
  </conditionalFormatting>
  <conditionalFormatting sqref="D5:D32 E5:J36 K5:K32 L5:AE36 AF5:AF32 AG5:AS36 AT5:BE37 BF5:BW32 BY5:BY32">
    <cfRule type="cellIs" dxfId="4" priority="2" operator="equal">
      <formula>"F"</formula>
    </cfRule>
  </conditionalFormatting>
  <dataValidations>
    <dataValidation type="list" allowBlank="1" showDropDown="1" sqref="BB5:BD5 AK5:AO6 AK7 AM7:AO7 AK8:AO8 S5:T9 AM9:AO9 S10 AK9:AK10 AM10:AN10 BG5:BH10 S11:T11 Z5:Z11 AC5:AE11 AK11:AN11 AV5:AZ11 BG11 AC12 AM12:AN12 S12:S13 AK13:AN13 BG12:BH13 AC13:AE14 AK14:AO14 AK15:AK16 AM15:AO16 S14:T17 BG14:BG17 S18 S19:T19 AK17:AO19 S20 Z14:Z20 AM20:AO20 BG18:BH20 S21:T21 AC15:AD21 AK20:AK21 AM21:AN21 S22 AC22 AL22:AO22 BG21:BG23 S23:T25 Z23:Z25 S26 AK23:AO26 AK27 AM27:AO27 BG24:BH27 AC23:AD28 AK28:AO28 Z27:Z29 AC29 AL29:AO29 BG28:BG29 AK30 AM30:AO30 BG30:BH30 O5:O31 S27:T31 Z31 AC30:AD31 AK31:AO31 AR5:AR31 AT5:AT31 AV13:AZ31 Z32:AR32 AT32:AZ32 BB6:BE32 BG31:BG32 BL5:BM32">
      <formula1>"-,P,F"</formula1>
    </dataValidation>
    <dataValidation type="custom" allowBlank="1" showDropDown="1" sqref="B7 C8 B16:B17 B19 B29">
      <formula1>OR(NOT(ISERROR(DATEVALUE(B7))), AND(ISNUMBER(B7), LEFT(CELL("format", B7))="D"))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81"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4.0"/>
    <col customWidth="1" min="2" max="2" width="36.0"/>
    <col customWidth="1" min="4" max="23" width="2.63"/>
    <col customWidth="1" min="24" max="24" width="7.75"/>
    <col customWidth="1" min="25" max="44" width="2.63"/>
    <col customWidth="1" min="45" max="45" width="7.13"/>
    <col customWidth="1" min="46" max="52" width="2.63"/>
    <col customWidth="1" min="53" max="53" width="7.25"/>
    <col customWidth="1" min="54" max="75" width="2.63"/>
    <col customWidth="1" min="76" max="76" width="8.25"/>
    <col customWidth="1" min="77" max="94" width="2.63"/>
  </cols>
  <sheetData>
    <row r="1">
      <c r="A1" s="1" t="s">
        <v>48</v>
      </c>
      <c r="B1" s="1"/>
      <c r="C1" s="1"/>
      <c r="D1" s="2" t="s">
        <v>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 t="s">
        <v>2</v>
      </c>
      <c r="Y1" s="2" t="s">
        <v>7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4"/>
      <c r="AS1" s="5" t="s">
        <v>2</v>
      </c>
      <c r="AT1" s="2" t="s">
        <v>8</v>
      </c>
      <c r="AU1" s="3"/>
      <c r="AV1" s="3"/>
      <c r="AW1" s="3"/>
      <c r="AX1" s="3"/>
      <c r="AY1" s="3"/>
      <c r="AZ1" s="4"/>
      <c r="BA1" s="5" t="s">
        <v>2</v>
      </c>
      <c r="BB1" s="2" t="s">
        <v>9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4"/>
      <c r="BX1" s="5" t="s">
        <v>2</v>
      </c>
    </row>
    <row r="2">
      <c r="C2" s="6"/>
      <c r="D2" s="7"/>
      <c r="W2" s="8"/>
      <c r="X2" s="9">
        <f>COUNT(D4:Q4)</f>
        <v>14</v>
      </c>
      <c r="Y2" s="7"/>
      <c r="AR2" s="8"/>
      <c r="AS2" s="9">
        <f>COUNT(Y4:AR4)</f>
        <v>20</v>
      </c>
      <c r="AT2" s="7"/>
      <c r="AZ2" s="8"/>
      <c r="BA2" s="9">
        <f>COUNT(AT4:AZ4)</f>
        <v>7</v>
      </c>
      <c r="BB2" s="7"/>
      <c r="BW2" s="8"/>
      <c r="BX2" s="9">
        <f>COUNT(BB4:BQ4)</f>
        <v>16</v>
      </c>
    </row>
    <row r="3">
      <c r="C3" s="6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4"/>
      <c r="X3" s="15"/>
      <c r="Y3" s="12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4"/>
      <c r="AS3" s="15"/>
      <c r="AT3" s="12"/>
      <c r="AU3" s="13"/>
      <c r="AV3" s="13"/>
      <c r="AW3" s="13"/>
      <c r="AX3" s="13"/>
      <c r="AY3" s="13"/>
      <c r="AZ3" s="14"/>
      <c r="BA3" s="15"/>
      <c r="BB3" s="12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4"/>
      <c r="BX3" s="15"/>
    </row>
    <row r="4">
      <c r="A4" s="16" t="s">
        <v>10</v>
      </c>
      <c r="B4" s="17" t="s">
        <v>11</v>
      </c>
      <c r="C4" s="16" t="s">
        <v>14</v>
      </c>
      <c r="D4" s="18">
        <v>4.0</v>
      </c>
      <c r="E4" s="18">
        <v>5.0</v>
      </c>
      <c r="F4" s="18">
        <v>6.0</v>
      </c>
      <c r="G4" s="18">
        <v>7.0</v>
      </c>
      <c r="H4" s="18">
        <v>8.0</v>
      </c>
      <c r="I4" s="18">
        <v>11.0</v>
      </c>
      <c r="J4" s="18">
        <v>12.0</v>
      </c>
      <c r="K4" s="18">
        <v>13.0</v>
      </c>
      <c r="L4" s="18">
        <v>14.0</v>
      </c>
      <c r="M4" s="18">
        <v>15.0</v>
      </c>
      <c r="N4" s="18">
        <v>18.0</v>
      </c>
      <c r="O4" s="18">
        <v>19.0</v>
      </c>
      <c r="P4" s="18">
        <v>20.0</v>
      </c>
      <c r="Q4" s="18">
        <v>21.0</v>
      </c>
      <c r="R4" s="18">
        <v>22.0</v>
      </c>
      <c r="S4" s="18">
        <v>25.0</v>
      </c>
      <c r="T4" s="18">
        <v>26.0</v>
      </c>
      <c r="U4" s="18">
        <v>27.0</v>
      </c>
      <c r="V4" s="18">
        <v>28.0</v>
      </c>
      <c r="W4" s="18">
        <v>29.0</v>
      </c>
      <c r="X4" s="19" t="s">
        <v>13</v>
      </c>
      <c r="Y4" s="18">
        <v>1.0</v>
      </c>
      <c r="Z4" s="18">
        <v>2.0</v>
      </c>
      <c r="AA4" s="18">
        <v>3.0</v>
      </c>
      <c r="AB4" s="18">
        <v>8.0</v>
      </c>
      <c r="AC4" s="18">
        <v>9.0</v>
      </c>
      <c r="AD4" s="18">
        <v>10.0</v>
      </c>
      <c r="AE4" s="18">
        <v>11.0</v>
      </c>
      <c r="AF4" s="18">
        <v>12.0</v>
      </c>
      <c r="AG4" s="18">
        <v>15.0</v>
      </c>
      <c r="AH4" s="18">
        <v>16.0</v>
      </c>
      <c r="AI4" s="18">
        <v>17.0</v>
      </c>
      <c r="AJ4" s="18">
        <v>18.0</v>
      </c>
      <c r="AK4" s="18">
        <v>19.0</v>
      </c>
      <c r="AL4" s="18">
        <v>22.0</v>
      </c>
      <c r="AM4" s="18">
        <v>23.0</v>
      </c>
      <c r="AN4" s="18">
        <v>24.0</v>
      </c>
      <c r="AO4" s="18">
        <v>25.0</v>
      </c>
      <c r="AP4" s="18">
        <v>26.0</v>
      </c>
      <c r="AQ4" s="18">
        <v>29.0</v>
      </c>
      <c r="AR4" s="18">
        <v>30.0</v>
      </c>
      <c r="AS4" s="19" t="s">
        <v>13</v>
      </c>
      <c r="AT4" s="18">
        <v>1.0</v>
      </c>
      <c r="AU4" s="18">
        <v>2.0</v>
      </c>
      <c r="AV4" s="18">
        <v>3.0</v>
      </c>
      <c r="AW4" s="18">
        <v>28.0</v>
      </c>
      <c r="AX4" s="18">
        <v>29.0</v>
      </c>
      <c r="AY4" s="18">
        <v>30.0</v>
      </c>
      <c r="AZ4" s="18">
        <v>31.0</v>
      </c>
      <c r="BA4" s="19" t="s">
        <v>13</v>
      </c>
      <c r="BB4" s="18">
        <v>3.0</v>
      </c>
      <c r="BC4" s="18">
        <v>4.0</v>
      </c>
      <c r="BD4" s="18">
        <v>5.0</v>
      </c>
      <c r="BE4" s="18">
        <v>6.0</v>
      </c>
      <c r="BF4" s="18">
        <v>7.0</v>
      </c>
      <c r="BG4" s="18">
        <v>10.0</v>
      </c>
      <c r="BH4" s="18">
        <v>11.0</v>
      </c>
      <c r="BI4" s="18">
        <v>12.0</v>
      </c>
      <c r="BJ4" s="18">
        <v>13.0</v>
      </c>
      <c r="BK4" s="18">
        <v>14.0</v>
      </c>
      <c r="BL4" s="18">
        <v>17.0</v>
      </c>
      <c r="BM4" s="18">
        <v>18.0</v>
      </c>
      <c r="BN4" s="18">
        <v>19.0</v>
      </c>
      <c r="BO4" s="18">
        <v>20.0</v>
      </c>
      <c r="BP4" s="18">
        <v>21.0</v>
      </c>
      <c r="BQ4" s="18">
        <v>22.0</v>
      </c>
      <c r="BR4" s="18">
        <v>24.0</v>
      </c>
      <c r="BS4" s="18">
        <v>25.0</v>
      </c>
      <c r="BT4" s="18">
        <v>26.0</v>
      </c>
      <c r="BU4" s="18">
        <v>27.0</v>
      </c>
      <c r="BV4" s="18">
        <v>28.0</v>
      </c>
      <c r="BW4" s="18">
        <v>31.0</v>
      </c>
      <c r="BX4" s="19" t="s">
        <v>13</v>
      </c>
    </row>
    <row r="5">
      <c r="A5" s="206">
        <v>1.0</v>
      </c>
      <c r="B5" s="46"/>
      <c r="C5" s="26"/>
      <c r="D5" s="207" t="s">
        <v>16</v>
      </c>
      <c r="E5" s="61" t="s">
        <v>15</v>
      </c>
      <c r="F5" s="207" t="s">
        <v>16</v>
      </c>
      <c r="G5" s="59" t="s">
        <v>16</v>
      </c>
      <c r="H5" s="59" t="s">
        <v>16</v>
      </c>
      <c r="I5" s="59" t="s">
        <v>16</v>
      </c>
      <c r="J5" s="59" t="s">
        <v>15</v>
      </c>
      <c r="K5" s="59" t="s">
        <v>15</v>
      </c>
      <c r="L5" s="59" t="s">
        <v>15</v>
      </c>
      <c r="M5" s="59" t="s">
        <v>15</v>
      </c>
      <c r="N5" s="39" t="s">
        <v>15</v>
      </c>
      <c r="O5" s="59" t="s">
        <v>15</v>
      </c>
      <c r="P5" s="59" t="s">
        <v>15</v>
      </c>
      <c r="Q5" s="39" t="s">
        <v>15</v>
      </c>
      <c r="R5" s="39" t="s">
        <v>15</v>
      </c>
      <c r="S5" s="39" t="s">
        <v>15</v>
      </c>
      <c r="T5" s="39" t="s">
        <v>15</v>
      </c>
      <c r="U5" s="75" t="s">
        <v>15</v>
      </c>
      <c r="V5" s="39" t="s">
        <v>15</v>
      </c>
      <c r="W5" s="39" t="s">
        <v>15</v>
      </c>
      <c r="X5" s="138">
        <f t="shared" ref="X5:X35" si="1">IFERROR(COUNTIF(D5:W5,"P")/(COUNTIF(D5:W5,"P")+COUNTIF(D5:W5,"F")), "0,00%")</f>
        <v>0.75</v>
      </c>
      <c r="Y5" s="39" t="s">
        <v>15</v>
      </c>
      <c r="Z5" s="39" t="s">
        <v>15</v>
      </c>
      <c r="AA5" s="39" t="s">
        <v>15</v>
      </c>
      <c r="AB5" s="39" t="s">
        <v>15</v>
      </c>
      <c r="AC5" s="39" t="s">
        <v>15</v>
      </c>
      <c r="AD5" s="66" t="s">
        <v>15</v>
      </c>
      <c r="AE5" s="39" t="s">
        <v>15</v>
      </c>
      <c r="AF5" s="39" t="s">
        <v>15</v>
      </c>
      <c r="AG5" s="39" t="s">
        <v>15</v>
      </c>
      <c r="AH5" s="59" t="s">
        <v>15</v>
      </c>
      <c r="AI5" s="59" t="s">
        <v>15</v>
      </c>
      <c r="AJ5" s="39" t="s">
        <v>15</v>
      </c>
      <c r="AK5" s="39" t="s">
        <v>15</v>
      </c>
      <c r="AL5" s="39" t="s">
        <v>15</v>
      </c>
      <c r="AM5" s="39" t="s">
        <v>15</v>
      </c>
      <c r="AN5" s="70" t="s">
        <v>16</v>
      </c>
      <c r="AO5" s="39" t="s">
        <v>15</v>
      </c>
      <c r="AP5" s="39" t="s">
        <v>15</v>
      </c>
      <c r="AQ5" s="59" t="s">
        <v>16</v>
      </c>
      <c r="AR5" s="39" t="s">
        <v>15</v>
      </c>
      <c r="AS5" s="138">
        <f t="shared" ref="AS5:AS34" si="2">IFERROR(COUNTIF(Y5:AR5,"P")/(COUNTIF(Y5:AR5,"P")+COUNTIF(Y5:AR5,"F")), "0,00%")</f>
        <v>0.9</v>
      </c>
      <c r="AT5" s="39" t="s">
        <v>15</v>
      </c>
      <c r="AU5" s="59" t="s">
        <v>16</v>
      </c>
      <c r="AV5" s="59" t="s">
        <v>15</v>
      </c>
      <c r="AW5" s="59" t="s">
        <v>15</v>
      </c>
      <c r="AX5" s="39" t="s">
        <v>15</v>
      </c>
      <c r="AY5" s="70" t="s">
        <v>16</v>
      </c>
      <c r="AZ5" s="208" t="s">
        <v>15</v>
      </c>
      <c r="BA5" s="138">
        <f t="shared" ref="BA5:BA35" si="3">IFERROR(COUNTIF(AT5:AZ5,"P")/(COUNTIF(AT5:AZ5,"P")+COUNTIF(AT5:AZ5,"F")), "0,00%")</f>
        <v>0.7142857143</v>
      </c>
      <c r="BB5" s="39" t="s">
        <v>15</v>
      </c>
      <c r="BC5" s="39" t="s">
        <v>15</v>
      </c>
      <c r="BD5" s="39" t="s">
        <v>15</v>
      </c>
      <c r="BE5" s="39" t="s">
        <v>15</v>
      </c>
      <c r="BF5" s="59" t="s">
        <v>15</v>
      </c>
      <c r="BG5" s="39" t="s">
        <v>16</v>
      </c>
      <c r="BH5" s="39" t="s">
        <v>15</v>
      </c>
      <c r="BI5" s="39" t="s">
        <v>15</v>
      </c>
      <c r="BJ5" s="39" t="s">
        <v>15</v>
      </c>
      <c r="BK5" s="39" t="s">
        <v>15</v>
      </c>
      <c r="BL5" s="39" t="s">
        <v>15</v>
      </c>
      <c r="BM5" s="208" t="s">
        <v>15</v>
      </c>
      <c r="BN5" s="39" t="s">
        <v>15</v>
      </c>
      <c r="BO5" s="39" t="s">
        <v>15</v>
      </c>
      <c r="BP5" s="39" t="s">
        <v>15</v>
      </c>
      <c r="BQ5" s="75" t="s">
        <v>15</v>
      </c>
      <c r="BR5" s="75" t="s">
        <v>15</v>
      </c>
      <c r="BS5" s="75" t="s">
        <v>15</v>
      </c>
      <c r="BT5" s="75" t="s">
        <v>15</v>
      </c>
      <c r="BU5" s="66" t="s">
        <v>16</v>
      </c>
      <c r="BV5" s="75" t="s">
        <v>15</v>
      </c>
      <c r="BW5" s="209" t="s">
        <v>16</v>
      </c>
      <c r="BX5" s="138">
        <f t="shared" ref="BX5:BX35" si="4">IFERROR(COUNTIF(BB5:BW5,"P")/(COUNTIF(BB5:BW5,"P")+COUNTIF(BB5:BW5,"F")), "0,00%")</f>
        <v>0.8636363636</v>
      </c>
    </row>
    <row r="6">
      <c r="A6" s="206">
        <v>2.0</v>
      </c>
      <c r="B6" s="46"/>
      <c r="C6" s="26"/>
      <c r="D6" s="207" t="s">
        <v>16</v>
      </c>
      <c r="E6" s="61" t="s">
        <v>15</v>
      </c>
      <c r="F6" s="61" t="s">
        <v>15</v>
      </c>
      <c r="G6" s="61" t="s">
        <v>15</v>
      </c>
      <c r="H6" s="61" t="s">
        <v>15</v>
      </c>
      <c r="I6" s="59" t="s">
        <v>15</v>
      </c>
      <c r="J6" s="59" t="s">
        <v>15</v>
      </c>
      <c r="K6" s="59" t="s">
        <v>15</v>
      </c>
      <c r="L6" s="59" t="s">
        <v>15</v>
      </c>
      <c r="M6" s="59" t="s">
        <v>15</v>
      </c>
      <c r="N6" s="39" t="s">
        <v>15</v>
      </c>
      <c r="O6" s="59" t="s">
        <v>15</v>
      </c>
      <c r="P6" s="59" t="s">
        <v>15</v>
      </c>
      <c r="Q6" s="39" t="s">
        <v>15</v>
      </c>
      <c r="R6" s="39" t="s">
        <v>15</v>
      </c>
      <c r="S6" s="39" t="s">
        <v>15</v>
      </c>
      <c r="T6" s="39" t="s">
        <v>15</v>
      </c>
      <c r="U6" s="75" t="s">
        <v>15</v>
      </c>
      <c r="V6" s="39" t="s">
        <v>15</v>
      </c>
      <c r="W6" s="39" t="s">
        <v>15</v>
      </c>
      <c r="X6" s="138">
        <f t="shared" si="1"/>
        <v>0.95</v>
      </c>
      <c r="Y6" s="39" t="s">
        <v>15</v>
      </c>
      <c r="Z6" s="39" t="s">
        <v>15</v>
      </c>
      <c r="AA6" s="39" t="s">
        <v>15</v>
      </c>
      <c r="AB6" s="39" t="s">
        <v>15</v>
      </c>
      <c r="AC6" s="39" t="s">
        <v>15</v>
      </c>
      <c r="AD6" s="66" t="s">
        <v>15</v>
      </c>
      <c r="AE6" s="39" t="s">
        <v>15</v>
      </c>
      <c r="AF6" s="39" t="s">
        <v>15</v>
      </c>
      <c r="AG6" s="39" t="s">
        <v>15</v>
      </c>
      <c r="AH6" s="59" t="s">
        <v>15</v>
      </c>
      <c r="AI6" s="59" t="s">
        <v>15</v>
      </c>
      <c r="AJ6" s="39" t="s">
        <v>15</v>
      </c>
      <c r="AK6" s="39" t="s">
        <v>15</v>
      </c>
      <c r="AL6" s="39" t="s">
        <v>15</v>
      </c>
      <c r="AM6" s="39" t="s">
        <v>15</v>
      </c>
      <c r="AN6" s="39" t="s">
        <v>15</v>
      </c>
      <c r="AO6" s="39" t="s">
        <v>15</v>
      </c>
      <c r="AP6" s="70" t="s">
        <v>16</v>
      </c>
      <c r="AQ6" s="59" t="s">
        <v>16</v>
      </c>
      <c r="AR6" s="59" t="s">
        <v>16</v>
      </c>
      <c r="AS6" s="138">
        <f t="shared" si="2"/>
        <v>0.85</v>
      </c>
      <c r="AT6" s="70" t="s">
        <v>16</v>
      </c>
      <c r="AU6" s="59" t="s">
        <v>16</v>
      </c>
      <c r="AV6" s="59" t="s">
        <v>16</v>
      </c>
      <c r="AW6" s="59" t="s">
        <v>16</v>
      </c>
      <c r="AX6" s="39" t="s">
        <v>15</v>
      </c>
      <c r="AY6" s="70" t="s">
        <v>16</v>
      </c>
      <c r="AZ6" s="208" t="s">
        <v>15</v>
      </c>
      <c r="BA6" s="138">
        <f t="shared" si="3"/>
        <v>0.2857142857</v>
      </c>
      <c r="BB6" s="39" t="s">
        <v>15</v>
      </c>
      <c r="BC6" s="39" t="s">
        <v>15</v>
      </c>
      <c r="BD6" s="39" t="s">
        <v>15</v>
      </c>
      <c r="BE6" s="39" t="s">
        <v>15</v>
      </c>
      <c r="BF6" s="59" t="s">
        <v>15</v>
      </c>
      <c r="BG6" s="39" t="s">
        <v>15</v>
      </c>
      <c r="BH6" s="39" t="s">
        <v>15</v>
      </c>
      <c r="BI6" s="39" t="s">
        <v>15</v>
      </c>
      <c r="BJ6" s="73" t="s">
        <v>16</v>
      </c>
      <c r="BK6" s="75" t="s">
        <v>15</v>
      </c>
      <c r="BL6" s="75" t="s">
        <v>15</v>
      </c>
      <c r="BM6" s="208" t="s">
        <v>15</v>
      </c>
      <c r="BN6" s="75" t="s">
        <v>15</v>
      </c>
      <c r="BO6" s="75" t="s">
        <v>15</v>
      </c>
      <c r="BP6" s="73" t="s">
        <v>16</v>
      </c>
      <c r="BQ6" s="75" t="s">
        <v>15</v>
      </c>
      <c r="BR6" s="75" t="s">
        <v>15</v>
      </c>
      <c r="BS6" s="75" t="s">
        <v>15</v>
      </c>
      <c r="BT6" s="75" t="s">
        <v>15</v>
      </c>
      <c r="BU6" s="66" t="s">
        <v>16</v>
      </c>
      <c r="BV6" s="75" t="s">
        <v>15</v>
      </c>
      <c r="BW6" s="210" t="s">
        <v>15</v>
      </c>
      <c r="BX6" s="138">
        <f t="shared" si="4"/>
        <v>0.8636363636</v>
      </c>
    </row>
    <row r="7">
      <c r="A7" s="206">
        <v>3.0</v>
      </c>
      <c r="B7" s="57"/>
      <c r="C7" s="58"/>
      <c r="D7" s="61" t="s">
        <v>15</v>
      </c>
      <c r="E7" s="61" t="s">
        <v>15</v>
      </c>
      <c r="F7" s="207" t="s">
        <v>16</v>
      </c>
      <c r="G7" s="61" t="s">
        <v>15</v>
      </c>
      <c r="H7" s="61" t="s">
        <v>15</v>
      </c>
      <c r="I7" s="59" t="s">
        <v>16</v>
      </c>
      <c r="J7" s="59" t="s">
        <v>15</v>
      </c>
      <c r="K7" s="59" t="s">
        <v>15</v>
      </c>
      <c r="L7" s="59" t="s">
        <v>15</v>
      </c>
      <c r="M7" s="59" t="s">
        <v>15</v>
      </c>
      <c r="N7" s="39" t="s">
        <v>15</v>
      </c>
      <c r="O7" s="59" t="s">
        <v>15</v>
      </c>
      <c r="P7" s="59" t="s">
        <v>15</v>
      </c>
      <c r="Q7" s="70" t="s">
        <v>16</v>
      </c>
      <c r="R7" s="39" t="s">
        <v>15</v>
      </c>
      <c r="S7" s="39" t="s">
        <v>15</v>
      </c>
      <c r="T7" s="39" t="s">
        <v>15</v>
      </c>
      <c r="U7" s="75" t="s">
        <v>15</v>
      </c>
      <c r="V7" s="39" t="s">
        <v>15</v>
      </c>
      <c r="W7" s="39" t="s">
        <v>15</v>
      </c>
      <c r="X7" s="138">
        <f t="shared" si="1"/>
        <v>0.85</v>
      </c>
      <c r="Y7" s="39" t="s">
        <v>15</v>
      </c>
      <c r="Z7" s="39" t="s">
        <v>15</v>
      </c>
      <c r="AA7" s="39" t="s">
        <v>15</v>
      </c>
      <c r="AB7" s="39" t="s">
        <v>15</v>
      </c>
      <c r="AC7" s="39" t="s">
        <v>15</v>
      </c>
      <c r="AD7" s="66" t="s">
        <v>15</v>
      </c>
      <c r="AE7" s="39" t="s">
        <v>15</v>
      </c>
      <c r="AF7" s="39" t="s">
        <v>15</v>
      </c>
      <c r="AG7" s="39" t="s">
        <v>15</v>
      </c>
      <c r="AH7" s="59" t="s">
        <v>15</v>
      </c>
      <c r="AI7" s="59" t="s">
        <v>15</v>
      </c>
      <c r="AJ7" s="39" t="s">
        <v>15</v>
      </c>
      <c r="AK7" s="39" t="s">
        <v>15</v>
      </c>
      <c r="AL7" s="70" t="s">
        <v>16</v>
      </c>
      <c r="AM7" s="39" t="s">
        <v>15</v>
      </c>
      <c r="AN7" s="39" t="s">
        <v>15</v>
      </c>
      <c r="AO7" s="39" t="s">
        <v>15</v>
      </c>
      <c r="AP7" s="39" t="s">
        <v>15</v>
      </c>
      <c r="AQ7" s="59" t="s">
        <v>15</v>
      </c>
      <c r="AR7" s="39" t="s">
        <v>15</v>
      </c>
      <c r="AS7" s="138">
        <f t="shared" si="2"/>
        <v>0.95</v>
      </c>
      <c r="AT7" s="39" t="s">
        <v>15</v>
      </c>
      <c r="AU7" s="59" t="s">
        <v>16</v>
      </c>
      <c r="AV7" s="59" t="s">
        <v>15</v>
      </c>
      <c r="AW7" s="59" t="s">
        <v>15</v>
      </c>
      <c r="AX7" s="39" t="s">
        <v>15</v>
      </c>
      <c r="AY7" s="39" t="s">
        <v>15</v>
      </c>
      <c r="AZ7" s="208" t="s">
        <v>15</v>
      </c>
      <c r="BA7" s="138">
        <f t="shared" si="3"/>
        <v>0.8571428571</v>
      </c>
      <c r="BB7" s="39" t="s">
        <v>15</v>
      </c>
      <c r="BC7" s="39" t="s">
        <v>15</v>
      </c>
      <c r="BD7" s="39" t="s">
        <v>15</v>
      </c>
      <c r="BE7" s="39" t="s">
        <v>15</v>
      </c>
      <c r="BF7" s="59" t="s">
        <v>15</v>
      </c>
      <c r="BG7" s="39" t="s">
        <v>15</v>
      </c>
      <c r="BH7" s="39" t="s">
        <v>15</v>
      </c>
      <c r="BI7" s="39" t="s">
        <v>15</v>
      </c>
      <c r="BJ7" s="75" t="s">
        <v>15</v>
      </c>
      <c r="BK7" s="75" t="s">
        <v>15</v>
      </c>
      <c r="BL7" s="75" t="s">
        <v>15</v>
      </c>
      <c r="BM7" s="208" t="s">
        <v>15</v>
      </c>
      <c r="BN7" s="75" t="s">
        <v>15</v>
      </c>
      <c r="BO7" s="75" t="s">
        <v>15</v>
      </c>
      <c r="BP7" s="73" t="s">
        <v>16</v>
      </c>
      <c r="BQ7" s="75" t="s">
        <v>15</v>
      </c>
      <c r="BR7" s="75" t="s">
        <v>15</v>
      </c>
      <c r="BS7" s="75" t="s">
        <v>15</v>
      </c>
      <c r="BT7" s="75" t="s">
        <v>15</v>
      </c>
      <c r="BU7" s="75" t="s">
        <v>15</v>
      </c>
      <c r="BV7" s="75" t="s">
        <v>15</v>
      </c>
      <c r="BW7" s="210" t="s">
        <v>15</v>
      </c>
      <c r="BX7" s="138">
        <f t="shared" si="4"/>
        <v>0.9545454545</v>
      </c>
    </row>
    <row r="8">
      <c r="A8" s="206">
        <v>4.0</v>
      </c>
      <c r="B8" s="46"/>
      <c r="C8" s="58"/>
      <c r="D8" s="61" t="s">
        <v>15</v>
      </c>
      <c r="E8" s="61" t="s">
        <v>15</v>
      </c>
      <c r="F8" s="61" t="s">
        <v>15</v>
      </c>
      <c r="G8" s="61" t="s">
        <v>15</v>
      </c>
      <c r="H8" s="61" t="s">
        <v>15</v>
      </c>
      <c r="I8" s="59" t="s">
        <v>15</v>
      </c>
      <c r="J8" s="59" t="s">
        <v>15</v>
      </c>
      <c r="K8" s="59" t="s">
        <v>15</v>
      </c>
      <c r="L8" s="59" t="s">
        <v>15</v>
      </c>
      <c r="M8" s="59" t="s">
        <v>15</v>
      </c>
      <c r="N8" s="39" t="s">
        <v>15</v>
      </c>
      <c r="O8" s="59" t="s">
        <v>15</v>
      </c>
      <c r="P8" s="59" t="s">
        <v>15</v>
      </c>
      <c r="Q8" s="70" t="s">
        <v>16</v>
      </c>
      <c r="R8" s="39" t="s">
        <v>15</v>
      </c>
      <c r="S8" s="39" t="s">
        <v>15</v>
      </c>
      <c r="T8" s="39" t="s">
        <v>15</v>
      </c>
      <c r="U8" s="75" t="s">
        <v>15</v>
      </c>
      <c r="V8" s="39" t="s">
        <v>15</v>
      </c>
      <c r="W8" s="39" t="s">
        <v>15</v>
      </c>
      <c r="X8" s="138">
        <f t="shared" si="1"/>
        <v>0.95</v>
      </c>
      <c r="Y8" s="39" t="s">
        <v>15</v>
      </c>
      <c r="Z8" s="39" t="s">
        <v>15</v>
      </c>
      <c r="AA8" s="39" t="s">
        <v>15</v>
      </c>
      <c r="AB8" s="39" t="s">
        <v>15</v>
      </c>
      <c r="AC8" s="39" t="s">
        <v>15</v>
      </c>
      <c r="AD8" s="66" t="s">
        <v>15</v>
      </c>
      <c r="AE8" s="39" t="s">
        <v>15</v>
      </c>
      <c r="AF8" s="39" t="s">
        <v>15</v>
      </c>
      <c r="AG8" s="39" t="s">
        <v>15</v>
      </c>
      <c r="AH8" s="59" t="s">
        <v>15</v>
      </c>
      <c r="AI8" s="59" t="s">
        <v>15</v>
      </c>
      <c r="AJ8" s="39" t="s">
        <v>15</v>
      </c>
      <c r="AK8" s="39" t="s">
        <v>15</v>
      </c>
      <c r="AL8" s="39" t="s">
        <v>15</v>
      </c>
      <c r="AM8" s="59" t="s">
        <v>16</v>
      </c>
      <c r="AN8" s="70" t="s">
        <v>16</v>
      </c>
      <c r="AO8" s="39" t="s">
        <v>15</v>
      </c>
      <c r="AP8" s="39" t="s">
        <v>15</v>
      </c>
      <c r="AQ8" s="59" t="s">
        <v>15</v>
      </c>
      <c r="AR8" s="39" t="s">
        <v>15</v>
      </c>
      <c r="AS8" s="138">
        <f t="shared" si="2"/>
        <v>0.9</v>
      </c>
      <c r="AT8" s="39" t="s">
        <v>15</v>
      </c>
      <c r="AU8" s="59" t="s">
        <v>16</v>
      </c>
      <c r="AV8" s="59" t="s">
        <v>15</v>
      </c>
      <c r="AW8" s="59" t="s">
        <v>15</v>
      </c>
      <c r="AX8" s="39" t="s">
        <v>15</v>
      </c>
      <c r="AY8" s="39" t="s">
        <v>15</v>
      </c>
      <c r="AZ8" s="208" t="s">
        <v>15</v>
      </c>
      <c r="BA8" s="138">
        <f t="shared" si="3"/>
        <v>0.8571428571</v>
      </c>
      <c r="BB8" s="39" t="s">
        <v>15</v>
      </c>
      <c r="BC8" s="39" t="s">
        <v>15</v>
      </c>
      <c r="BD8" s="39" t="s">
        <v>15</v>
      </c>
      <c r="BE8" s="59" t="s">
        <v>16</v>
      </c>
      <c r="BF8" s="59" t="s">
        <v>15</v>
      </c>
      <c r="BG8" s="59" t="s">
        <v>15</v>
      </c>
      <c r="BH8" s="59" t="s">
        <v>15</v>
      </c>
      <c r="BI8" s="59" t="s">
        <v>15</v>
      </c>
      <c r="BJ8" s="75" t="s">
        <v>15</v>
      </c>
      <c r="BK8" s="73" t="s">
        <v>16</v>
      </c>
      <c r="BL8" s="75" t="s">
        <v>15</v>
      </c>
      <c r="BM8" s="208" t="s">
        <v>15</v>
      </c>
      <c r="BN8" s="75" t="s">
        <v>15</v>
      </c>
      <c r="BO8" s="75" t="s">
        <v>15</v>
      </c>
      <c r="BP8" s="75" t="s">
        <v>15</v>
      </c>
      <c r="BQ8" s="75" t="s">
        <v>15</v>
      </c>
      <c r="BR8" s="75" t="s">
        <v>15</v>
      </c>
      <c r="BS8" s="75" t="s">
        <v>15</v>
      </c>
      <c r="BT8" s="75" t="s">
        <v>15</v>
      </c>
      <c r="BU8" s="75" t="s">
        <v>15</v>
      </c>
      <c r="BV8" s="75" t="s">
        <v>15</v>
      </c>
      <c r="BW8" s="210" t="s">
        <v>15</v>
      </c>
      <c r="BX8" s="138">
        <f t="shared" si="4"/>
        <v>0.9090909091</v>
      </c>
    </row>
    <row r="9">
      <c r="A9" s="123">
        <v>5.0</v>
      </c>
      <c r="B9" s="55"/>
      <c r="C9" s="113"/>
      <c r="D9" s="207" t="s">
        <v>16</v>
      </c>
      <c r="E9" s="61" t="s">
        <v>15</v>
      </c>
      <c r="F9" s="207" t="s">
        <v>16</v>
      </c>
      <c r="G9" s="61" t="s">
        <v>15</v>
      </c>
      <c r="H9" s="61" t="s">
        <v>15</v>
      </c>
      <c r="I9" s="59" t="s">
        <v>16</v>
      </c>
      <c r="J9" s="59" t="s">
        <v>15</v>
      </c>
      <c r="K9" s="59" t="s">
        <v>15</v>
      </c>
      <c r="L9" s="59" t="s">
        <v>15</v>
      </c>
      <c r="M9" s="59" t="s">
        <v>15</v>
      </c>
      <c r="N9" s="39" t="s">
        <v>15</v>
      </c>
      <c r="O9" s="59" t="s">
        <v>15</v>
      </c>
      <c r="P9" s="59" t="s">
        <v>15</v>
      </c>
      <c r="Q9" s="39" t="s">
        <v>15</v>
      </c>
      <c r="R9" s="39" t="s">
        <v>15</v>
      </c>
      <c r="S9" s="39" t="s">
        <v>15</v>
      </c>
      <c r="T9" s="39" t="s">
        <v>15</v>
      </c>
      <c r="U9" s="75" t="s">
        <v>15</v>
      </c>
      <c r="V9" s="39" t="s">
        <v>15</v>
      </c>
      <c r="W9" s="59" t="s">
        <v>16</v>
      </c>
      <c r="X9" s="138">
        <f t="shared" si="1"/>
        <v>0.8</v>
      </c>
      <c r="Y9" s="39" t="s">
        <v>15</v>
      </c>
      <c r="Z9" s="39" t="s">
        <v>15</v>
      </c>
      <c r="AA9" s="39" t="s">
        <v>15</v>
      </c>
      <c r="AB9" s="70" t="s">
        <v>16</v>
      </c>
      <c r="AC9" s="39" t="s">
        <v>15</v>
      </c>
      <c r="AD9" s="66" t="s">
        <v>15</v>
      </c>
      <c r="AE9" s="39" t="s">
        <v>15</v>
      </c>
      <c r="AF9" s="39" t="s">
        <v>15</v>
      </c>
      <c r="AG9" s="39" t="s">
        <v>15</v>
      </c>
      <c r="AH9" s="59" t="s">
        <v>15</v>
      </c>
      <c r="AI9" s="59" t="s">
        <v>15</v>
      </c>
      <c r="AJ9" s="39" t="s">
        <v>15</v>
      </c>
      <c r="AK9" s="59" t="s">
        <v>16</v>
      </c>
      <c r="AL9" s="39" t="s">
        <v>15</v>
      </c>
      <c r="AM9" s="39" t="s">
        <v>15</v>
      </c>
      <c r="AN9" s="70" t="s">
        <v>16</v>
      </c>
      <c r="AO9" s="39" t="s">
        <v>15</v>
      </c>
      <c r="AP9" s="39" t="s">
        <v>15</v>
      </c>
      <c r="AQ9" s="59" t="s">
        <v>16</v>
      </c>
      <c r="AR9" s="39" t="s">
        <v>15</v>
      </c>
      <c r="AS9" s="138">
        <f t="shared" si="2"/>
        <v>0.8</v>
      </c>
      <c r="AT9" s="39" t="s">
        <v>15</v>
      </c>
      <c r="AU9" s="59" t="s">
        <v>16</v>
      </c>
      <c r="AV9" s="59" t="s">
        <v>15</v>
      </c>
      <c r="AW9" s="59" t="s">
        <v>16</v>
      </c>
      <c r="AX9" s="39" t="s">
        <v>15</v>
      </c>
      <c r="AY9" s="39" t="s">
        <v>15</v>
      </c>
      <c r="AZ9" s="208" t="s">
        <v>15</v>
      </c>
      <c r="BA9" s="138">
        <f t="shared" si="3"/>
        <v>0.7142857143</v>
      </c>
      <c r="BB9" s="39" t="s">
        <v>15</v>
      </c>
      <c r="BC9" s="70" t="s">
        <v>16</v>
      </c>
      <c r="BD9" s="39" t="s">
        <v>15</v>
      </c>
      <c r="BE9" s="39" t="s">
        <v>15</v>
      </c>
      <c r="BF9" s="59" t="s">
        <v>15</v>
      </c>
      <c r="BG9" s="39" t="s">
        <v>15</v>
      </c>
      <c r="BH9" s="39" t="s">
        <v>15</v>
      </c>
      <c r="BI9" s="39" t="s">
        <v>15</v>
      </c>
      <c r="BJ9" s="75" t="s">
        <v>15</v>
      </c>
      <c r="BK9" s="75" t="s">
        <v>15</v>
      </c>
      <c r="BL9" s="75" t="s">
        <v>15</v>
      </c>
      <c r="BM9" s="208" t="s">
        <v>15</v>
      </c>
      <c r="BN9" s="75" t="s">
        <v>15</v>
      </c>
      <c r="BO9" s="75" t="s">
        <v>15</v>
      </c>
      <c r="BP9" s="75" t="s">
        <v>15</v>
      </c>
      <c r="BQ9" s="75" t="s">
        <v>15</v>
      </c>
      <c r="BR9" s="75" t="s">
        <v>15</v>
      </c>
      <c r="BS9" s="75" t="s">
        <v>15</v>
      </c>
      <c r="BT9" s="75" t="s">
        <v>15</v>
      </c>
      <c r="BU9" s="66" t="s">
        <v>16</v>
      </c>
      <c r="BV9" s="66" t="s">
        <v>16</v>
      </c>
      <c r="BW9" s="212" t="s">
        <v>16</v>
      </c>
      <c r="BX9" s="138">
        <f t="shared" si="4"/>
        <v>0.8181818182</v>
      </c>
    </row>
    <row r="10">
      <c r="A10" s="206">
        <v>6.0</v>
      </c>
      <c r="B10" s="57"/>
      <c r="C10" s="94" t="s">
        <v>32</v>
      </c>
      <c r="D10" s="61" t="s">
        <v>15</v>
      </c>
      <c r="E10" s="61" t="s">
        <v>15</v>
      </c>
      <c r="F10" s="207" t="s">
        <v>16</v>
      </c>
      <c r="G10" s="61" t="s">
        <v>15</v>
      </c>
      <c r="H10" s="61" t="s">
        <v>15</v>
      </c>
      <c r="I10" s="59" t="s">
        <v>16</v>
      </c>
      <c r="J10" s="59" t="s">
        <v>15</v>
      </c>
      <c r="K10" s="59" t="s">
        <v>15</v>
      </c>
      <c r="L10" s="59" t="s">
        <v>15</v>
      </c>
      <c r="M10" s="59" t="s">
        <v>15</v>
      </c>
      <c r="N10" s="39" t="s">
        <v>15</v>
      </c>
      <c r="O10" s="59" t="s">
        <v>15</v>
      </c>
      <c r="P10" s="59" t="s">
        <v>16</v>
      </c>
      <c r="Q10" s="70" t="s">
        <v>16</v>
      </c>
      <c r="R10" s="39" t="s">
        <v>15</v>
      </c>
      <c r="S10" s="70" t="s">
        <v>16</v>
      </c>
      <c r="T10" s="39" t="s">
        <v>15</v>
      </c>
      <c r="U10" s="75" t="s">
        <v>15</v>
      </c>
      <c r="V10" s="59" t="s">
        <v>16</v>
      </c>
      <c r="W10" s="59" t="s">
        <v>16</v>
      </c>
      <c r="X10" s="138">
        <f t="shared" si="1"/>
        <v>0.65</v>
      </c>
      <c r="Y10" s="39" t="s">
        <v>15</v>
      </c>
      <c r="Z10" s="70" t="s">
        <v>16</v>
      </c>
      <c r="AA10" s="39" t="s">
        <v>15</v>
      </c>
      <c r="AB10" s="39" t="s">
        <v>15</v>
      </c>
      <c r="AC10" s="39" t="s">
        <v>15</v>
      </c>
      <c r="AD10" s="66" t="s">
        <v>15</v>
      </c>
      <c r="AE10" s="39" t="s">
        <v>15</v>
      </c>
      <c r="AF10" s="39" t="s">
        <v>15</v>
      </c>
      <c r="AG10" s="39" t="s">
        <v>15</v>
      </c>
      <c r="AH10" s="59" t="s">
        <v>15</v>
      </c>
      <c r="AI10" s="59" t="s">
        <v>15</v>
      </c>
      <c r="AJ10" s="39" t="s">
        <v>15</v>
      </c>
      <c r="AK10" s="59" t="s">
        <v>16</v>
      </c>
      <c r="AL10" s="39" t="s">
        <v>15</v>
      </c>
      <c r="AM10" s="39" t="s">
        <v>15</v>
      </c>
      <c r="AN10" s="70" t="s">
        <v>16</v>
      </c>
      <c r="AO10" s="39" t="s">
        <v>15</v>
      </c>
      <c r="AP10" s="39" t="s">
        <v>15</v>
      </c>
      <c r="AQ10" s="59" t="s">
        <v>15</v>
      </c>
      <c r="AR10" s="39" t="s">
        <v>15</v>
      </c>
      <c r="AS10" s="138">
        <f t="shared" si="2"/>
        <v>0.85</v>
      </c>
      <c r="AT10" s="39" t="s">
        <v>15</v>
      </c>
      <c r="AU10" s="59" t="s">
        <v>16</v>
      </c>
      <c r="AV10" s="59" t="s">
        <v>15</v>
      </c>
      <c r="AW10" s="59" t="s">
        <v>15</v>
      </c>
      <c r="AX10" s="39" t="s">
        <v>15</v>
      </c>
      <c r="AY10" s="39" t="s">
        <v>15</v>
      </c>
      <c r="AZ10" s="208" t="s">
        <v>15</v>
      </c>
      <c r="BA10" s="138">
        <f t="shared" si="3"/>
        <v>0.8571428571</v>
      </c>
      <c r="BB10" s="66" t="s">
        <v>16</v>
      </c>
      <c r="BC10" s="39" t="s">
        <v>15</v>
      </c>
      <c r="BD10" s="70" t="s">
        <v>16</v>
      </c>
      <c r="BE10" s="59" t="s">
        <v>16</v>
      </c>
      <c r="BF10" s="59" t="s">
        <v>15</v>
      </c>
      <c r="BG10" s="59" t="s">
        <v>15</v>
      </c>
      <c r="BH10" s="59" t="s">
        <v>15</v>
      </c>
      <c r="BI10" s="59" t="s">
        <v>15</v>
      </c>
      <c r="BJ10" s="75" t="s">
        <v>15</v>
      </c>
      <c r="BK10" s="75" t="s">
        <v>15</v>
      </c>
      <c r="BL10" s="75" t="s">
        <v>15</v>
      </c>
      <c r="BM10" s="208" t="s">
        <v>15</v>
      </c>
      <c r="BN10" s="75" t="s">
        <v>15</v>
      </c>
      <c r="BO10" s="75" t="s">
        <v>15</v>
      </c>
      <c r="BP10" s="75" t="s">
        <v>15</v>
      </c>
      <c r="BQ10" s="75" t="s">
        <v>15</v>
      </c>
      <c r="BR10" s="75" t="s">
        <v>15</v>
      </c>
      <c r="BS10" s="75" t="s">
        <v>15</v>
      </c>
      <c r="BT10" s="75" t="s">
        <v>15</v>
      </c>
      <c r="BU10" s="66" t="s">
        <v>16</v>
      </c>
      <c r="BV10" s="75" t="s">
        <v>15</v>
      </c>
      <c r="BW10" s="210" t="s">
        <v>15</v>
      </c>
      <c r="BX10" s="138">
        <f t="shared" si="4"/>
        <v>0.8181818182</v>
      </c>
    </row>
    <row r="11">
      <c r="A11" s="206">
        <v>7.0</v>
      </c>
      <c r="B11" s="46"/>
      <c r="C11" s="58"/>
      <c r="D11" s="207" t="s">
        <v>16</v>
      </c>
      <c r="E11" s="61" t="s">
        <v>15</v>
      </c>
      <c r="F11" s="61" t="s">
        <v>15</v>
      </c>
      <c r="G11" s="61" t="s">
        <v>15</v>
      </c>
      <c r="H11" s="59" t="s">
        <v>16</v>
      </c>
      <c r="I11" s="59" t="s">
        <v>15</v>
      </c>
      <c r="J11" s="59" t="s">
        <v>15</v>
      </c>
      <c r="K11" s="59" t="s">
        <v>15</v>
      </c>
      <c r="L11" s="59" t="s">
        <v>16</v>
      </c>
      <c r="M11" s="59" t="s">
        <v>15</v>
      </c>
      <c r="N11" s="39" t="s">
        <v>15</v>
      </c>
      <c r="O11" s="59" t="s">
        <v>15</v>
      </c>
      <c r="P11" s="59" t="s">
        <v>15</v>
      </c>
      <c r="Q11" s="39" t="s">
        <v>15</v>
      </c>
      <c r="R11" s="39" t="s">
        <v>15</v>
      </c>
      <c r="S11" s="39" t="s">
        <v>15</v>
      </c>
      <c r="T11" s="39" t="s">
        <v>15</v>
      </c>
      <c r="U11" s="75" t="s">
        <v>15</v>
      </c>
      <c r="V11" s="39" t="s">
        <v>15</v>
      </c>
      <c r="W11" s="39" t="s">
        <v>15</v>
      </c>
      <c r="X11" s="138">
        <f t="shared" si="1"/>
        <v>0.85</v>
      </c>
      <c r="Y11" s="59" t="s">
        <v>16</v>
      </c>
      <c r="Z11" s="70" t="s">
        <v>16</v>
      </c>
      <c r="AA11" s="70" t="s">
        <v>16</v>
      </c>
      <c r="AB11" s="39" t="s">
        <v>15</v>
      </c>
      <c r="AC11" s="39" t="s">
        <v>15</v>
      </c>
      <c r="AD11" s="66" t="s">
        <v>15</v>
      </c>
      <c r="AE11" s="39" t="s">
        <v>15</v>
      </c>
      <c r="AF11" s="39" t="s">
        <v>15</v>
      </c>
      <c r="AG11" s="39" t="s">
        <v>15</v>
      </c>
      <c r="AH11" s="59" t="s">
        <v>15</v>
      </c>
      <c r="AI11" s="59" t="s">
        <v>15</v>
      </c>
      <c r="AJ11" s="39" t="s">
        <v>15</v>
      </c>
      <c r="AK11" s="59" t="s">
        <v>16</v>
      </c>
      <c r="AL11" s="39" t="s">
        <v>15</v>
      </c>
      <c r="AM11" s="39" t="s">
        <v>15</v>
      </c>
      <c r="AN11" s="70" t="s">
        <v>16</v>
      </c>
      <c r="AO11" s="39" t="s">
        <v>15</v>
      </c>
      <c r="AP11" s="39" t="s">
        <v>15</v>
      </c>
      <c r="AQ11" s="59" t="s">
        <v>15</v>
      </c>
      <c r="AR11" s="39" t="s">
        <v>15</v>
      </c>
      <c r="AS11" s="138">
        <f t="shared" si="2"/>
        <v>0.75</v>
      </c>
      <c r="AT11" s="39" t="s">
        <v>15</v>
      </c>
      <c r="AU11" s="59" t="s">
        <v>15</v>
      </c>
      <c r="AV11" s="59" t="s">
        <v>15</v>
      </c>
      <c r="AW11" s="59" t="s">
        <v>15</v>
      </c>
      <c r="AX11" s="39" t="s">
        <v>15</v>
      </c>
      <c r="AY11" s="39" t="s">
        <v>15</v>
      </c>
      <c r="AZ11" s="208" t="s">
        <v>15</v>
      </c>
      <c r="BA11" s="138">
        <f t="shared" si="3"/>
        <v>1</v>
      </c>
      <c r="BB11" s="39" t="s">
        <v>15</v>
      </c>
      <c r="BC11" s="39" t="s">
        <v>15</v>
      </c>
      <c r="BD11" s="39" t="s">
        <v>15</v>
      </c>
      <c r="BE11" s="39" t="s">
        <v>15</v>
      </c>
      <c r="BF11" s="59" t="s">
        <v>15</v>
      </c>
      <c r="BG11" s="39" t="s">
        <v>15</v>
      </c>
      <c r="BH11" s="39" t="s">
        <v>15</v>
      </c>
      <c r="BI11" s="39" t="s">
        <v>15</v>
      </c>
      <c r="BJ11" s="39" t="s">
        <v>15</v>
      </c>
      <c r="BK11" s="39" t="s">
        <v>15</v>
      </c>
      <c r="BL11" s="70" t="s">
        <v>16</v>
      </c>
      <c r="BM11" s="208" t="s">
        <v>15</v>
      </c>
      <c r="BN11" s="39" t="s">
        <v>15</v>
      </c>
      <c r="BO11" s="39" t="s">
        <v>15</v>
      </c>
      <c r="BP11" s="39" t="s">
        <v>15</v>
      </c>
      <c r="BQ11" s="75" t="s">
        <v>15</v>
      </c>
      <c r="BR11" s="75" t="s">
        <v>15</v>
      </c>
      <c r="BS11" s="75" t="s">
        <v>15</v>
      </c>
      <c r="BT11" s="75" t="s">
        <v>15</v>
      </c>
      <c r="BU11" s="66" t="s">
        <v>16</v>
      </c>
      <c r="BV11" s="75" t="s">
        <v>15</v>
      </c>
      <c r="BW11" s="215" t="s">
        <v>15</v>
      </c>
      <c r="BX11" s="138">
        <f t="shared" si="4"/>
        <v>0.9090909091</v>
      </c>
    </row>
    <row r="12">
      <c r="A12" s="206">
        <v>8.0</v>
      </c>
      <c r="B12" s="55"/>
      <c r="C12" s="58"/>
      <c r="D12" s="61" t="s">
        <v>15</v>
      </c>
      <c r="E12" s="61" t="s">
        <v>15</v>
      </c>
      <c r="F12" s="61" t="s">
        <v>15</v>
      </c>
      <c r="G12" s="61" t="s">
        <v>15</v>
      </c>
      <c r="H12" s="61" t="s">
        <v>15</v>
      </c>
      <c r="I12" s="59" t="s">
        <v>16</v>
      </c>
      <c r="J12" s="59" t="s">
        <v>15</v>
      </c>
      <c r="K12" s="59" t="s">
        <v>16</v>
      </c>
      <c r="L12" s="59" t="s">
        <v>16</v>
      </c>
      <c r="M12" s="59" t="s">
        <v>15</v>
      </c>
      <c r="N12" s="70" t="s">
        <v>16</v>
      </c>
      <c r="O12" s="59" t="s">
        <v>15</v>
      </c>
      <c r="P12" s="59" t="s">
        <v>15</v>
      </c>
      <c r="Q12" s="39" t="s">
        <v>15</v>
      </c>
      <c r="R12" s="39" t="s">
        <v>15</v>
      </c>
      <c r="S12" s="39" t="s">
        <v>15</v>
      </c>
      <c r="T12" s="39" t="s">
        <v>15</v>
      </c>
      <c r="U12" s="75" t="s">
        <v>15</v>
      </c>
      <c r="V12" s="39" t="s">
        <v>15</v>
      </c>
      <c r="W12" s="39" t="s">
        <v>15</v>
      </c>
      <c r="X12" s="138">
        <f t="shared" si="1"/>
        <v>0.8</v>
      </c>
      <c r="Y12" s="39" t="s">
        <v>15</v>
      </c>
      <c r="Z12" s="70" t="s">
        <v>16</v>
      </c>
      <c r="AA12" s="39" t="s">
        <v>15</v>
      </c>
      <c r="AB12" s="39" t="s">
        <v>15</v>
      </c>
      <c r="AC12" s="39" t="s">
        <v>15</v>
      </c>
      <c r="AD12" s="66" t="s">
        <v>15</v>
      </c>
      <c r="AE12" s="39" t="s">
        <v>15</v>
      </c>
      <c r="AF12" s="39" t="s">
        <v>15</v>
      </c>
      <c r="AG12" s="39" t="s">
        <v>15</v>
      </c>
      <c r="AH12" s="59" t="s">
        <v>15</v>
      </c>
      <c r="AI12" s="59" t="s">
        <v>15</v>
      </c>
      <c r="AJ12" s="39" t="s">
        <v>15</v>
      </c>
      <c r="AK12" s="39" t="s">
        <v>15</v>
      </c>
      <c r="AL12" s="39" t="s">
        <v>15</v>
      </c>
      <c r="AM12" s="39" t="s">
        <v>15</v>
      </c>
      <c r="AN12" s="39" t="s">
        <v>15</v>
      </c>
      <c r="AO12" s="39" t="s">
        <v>15</v>
      </c>
      <c r="AP12" s="39" t="s">
        <v>15</v>
      </c>
      <c r="AQ12" s="59" t="s">
        <v>15</v>
      </c>
      <c r="AR12" s="39" t="s">
        <v>15</v>
      </c>
      <c r="AS12" s="138">
        <f t="shared" si="2"/>
        <v>0.95</v>
      </c>
      <c r="AT12" s="39" t="s">
        <v>15</v>
      </c>
      <c r="AU12" s="59" t="s">
        <v>16</v>
      </c>
      <c r="AV12" s="59" t="s">
        <v>15</v>
      </c>
      <c r="AW12" s="59" t="s">
        <v>15</v>
      </c>
      <c r="AX12" s="39" t="s">
        <v>15</v>
      </c>
      <c r="AY12" s="39" t="s">
        <v>15</v>
      </c>
      <c r="AZ12" s="208" t="s">
        <v>15</v>
      </c>
      <c r="BA12" s="138">
        <f t="shared" si="3"/>
        <v>0.8571428571</v>
      </c>
      <c r="BB12" s="39" t="s">
        <v>15</v>
      </c>
      <c r="BC12" s="39" t="s">
        <v>15</v>
      </c>
      <c r="BD12" s="39" t="s">
        <v>15</v>
      </c>
      <c r="BE12" s="59" t="s">
        <v>16</v>
      </c>
      <c r="BF12" s="59" t="s">
        <v>15</v>
      </c>
      <c r="BG12" s="59" t="s">
        <v>15</v>
      </c>
      <c r="BH12" s="59" t="s">
        <v>15</v>
      </c>
      <c r="BI12" s="59" t="s">
        <v>15</v>
      </c>
      <c r="BJ12" s="75" t="s">
        <v>15</v>
      </c>
      <c r="BK12" s="75" t="s">
        <v>15</v>
      </c>
      <c r="BL12" s="75" t="s">
        <v>15</v>
      </c>
      <c r="BM12" s="208" t="s">
        <v>15</v>
      </c>
      <c r="BN12" s="75" t="s">
        <v>15</v>
      </c>
      <c r="BO12" s="75" t="s">
        <v>15</v>
      </c>
      <c r="BP12" s="75" t="s">
        <v>15</v>
      </c>
      <c r="BQ12" s="75" t="s">
        <v>15</v>
      </c>
      <c r="BR12" s="75" t="s">
        <v>15</v>
      </c>
      <c r="BS12" s="75" t="s">
        <v>15</v>
      </c>
      <c r="BT12" s="75" t="s">
        <v>15</v>
      </c>
      <c r="BU12" s="75" t="s">
        <v>15</v>
      </c>
      <c r="BV12" s="75" t="s">
        <v>15</v>
      </c>
      <c r="BW12" s="210" t="s">
        <v>15</v>
      </c>
      <c r="BX12" s="138">
        <f t="shared" si="4"/>
        <v>0.9545454545</v>
      </c>
    </row>
    <row r="13">
      <c r="A13" s="206">
        <v>9.0</v>
      </c>
      <c r="B13" s="57"/>
      <c r="C13" s="58"/>
      <c r="D13" s="61" t="s">
        <v>15</v>
      </c>
      <c r="E13" s="61" t="s">
        <v>15</v>
      </c>
      <c r="F13" s="61" t="s">
        <v>15</v>
      </c>
      <c r="G13" s="61" t="s">
        <v>15</v>
      </c>
      <c r="H13" s="61" t="s">
        <v>15</v>
      </c>
      <c r="I13" s="59" t="s">
        <v>15</v>
      </c>
      <c r="J13" s="59" t="s">
        <v>15</v>
      </c>
      <c r="K13" s="59" t="s">
        <v>15</v>
      </c>
      <c r="L13" s="59" t="s">
        <v>15</v>
      </c>
      <c r="M13" s="59" t="s">
        <v>15</v>
      </c>
      <c r="N13" s="39" t="s">
        <v>15</v>
      </c>
      <c r="O13" s="59" t="s">
        <v>15</v>
      </c>
      <c r="P13" s="59" t="s">
        <v>15</v>
      </c>
      <c r="Q13" s="39" t="s">
        <v>15</v>
      </c>
      <c r="R13" s="39" t="s">
        <v>15</v>
      </c>
      <c r="S13" s="39" t="s">
        <v>15</v>
      </c>
      <c r="T13" s="39" t="s">
        <v>15</v>
      </c>
      <c r="U13" s="75" t="s">
        <v>15</v>
      </c>
      <c r="V13" s="39" t="s">
        <v>15</v>
      </c>
      <c r="W13" s="39" t="s">
        <v>15</v>
      </c>
      <c r="X13" s="138">
        <f t="shared" si="1"/>
        <v>1</v>
      </c>
      <c r="Y13" s="39" t="s">
        <v>15</v>
      </c>
      <c r="Z13" s="39" t="s">
        <v>15</v>
      </c>
      <c r="AA13" s="39" t="s">
        <v>15</v>
      </c>
      <c r="AB13" s="39" t="s">
        <v>15</v>
      </c>
      <c r="AC13" s="39" t="s">
        <v>15</v>
      </c>
      <c r="AD13" s="66" t="s">
        <v>15</v>
      </c>
      <c r="AE13" s="39" t="s">
        <v>15</v>
      </c>
      <c r="AF13" s="39" t="s">
        <v>15</v>
      </c>
      <c r="AG13" s="39" t="s">
        <v>15</v>
      </c>
      <c r="AH13" s="59" t="s">
        <v>15</v>
      </c>
      <c r="AI13" s="59" t="s">
        <v>15</v>
      </c>
      <c r="AJ13" s="39" t="s">
        <v>15</v>
      </c>
      <c r="AK13" s="39" t="s">
        <v>15</v>
      </c>
      <c r="AL13" s="39" t="s">
        <v>15</v>
      </c>
      <c r="AM13" s="39" t="s">
        <v>15</v>
      </c>
      <c r="AN13" s="39" t="s">
        <v>15</v>
      </c>
      <c r="AO13" s="39" t="s">
        <v>15</v>
      </c>
      <c r="AP13" s="39" t="s">
        <v>15</v>
      </c>
      <c r="AQ13" s="59" t="s">
        <v>15</v>
      </c>
      <c r="AR13" s="39" t="s">
        <v>15</v>
      </c>
      <c r="AS13" s="138">
        <f t="shared" si="2"/>
        <v>1</v>
      </c>
      <c r="AT13" s="39" t="s">
        <v>15</v>
      </c>
      <c r="AU13" s="59" t="s">
        <v>15</v>
      </c>
      <c r="AV13" s="59" t="s">
        <v>15</v>
      </c>
      <c r="AW13" s="59" t="s">
        <v>15</v>
      </c>
      <c r="AX13" s="39" t="s">
        <v>15</v>
      </c>
      <c r="AY13" s="39" t="s">
        <v>15</v>
      </c>
      <c r="AZ13" s="208" t="s">
        <v>15</v>
      </c>
      <c r="BA13" s="138">
        <f t="shared" si="3"/>
        <v>1</v>
      </c>
      <c r="BB13" s="39" t="s">
        <v>15</v>
      </c>
      <c r="BC13" s="39" t="s">
        <v>15</v>
      </c>
      <c r="BD13" s="39" t="s">
        <v>15</v>
      </c>
      <c r="BE13" s="39" t="s">
        <v>15</v>
      </c>
      <c r="BF13" s="59" t="s">
        <v>15</v>
      </c>
      <c r="BG13" s="39" t="s">
        <v>15</v>
      </c>
      <c r="BH13" s="39" t="s">
        <v>15</v>
      </c>
      <c r="BI13" s="39" t="s">
        <v>15</v>
      </c>
      <c r="BJ13" s="75" t="s">
        <v>15</v>
      </c>
      <c r="BK13" s="73" t="s">
        <v>16</v>
      </c>
      <c r="BL13" s="75" t="s">
        <v>15</v>
      </c>
      <c r="BM13" s="208" t="s">
        <v>15</v>
      </c>
      <c r="BN13" s="75" t="s">
        <v>15</v>
      </c>
      <c r="BO13" s="75" t="s">
        <v>15</v>
      </c>
      <c r="BP13" s="75" t="s">
        <v>15</v>
      </c>
      <c r="BQ13" s="75" t="s">
        <v>15</v>
      </c>
      <c r="BR13" s="75" t="s">
        <v>15</v>
      </c>
      <c r="BS13" s="75" t="s">
        <v>15</v>
      </c>
      <c r="BT13" s="75" t="s">
        <v>15</v>
      </c>
      <c r="BU13" s="66" t="s">
        <v>16</v>
      </c>
      <c r="BV13" s="75" t="s">
        <v>15</v>
      </c>
      <c r="BW13" s="210" t="s">
        <v>15</v>
      </c>
      <c r="BX13" s="138">
        <f t="shared" si="4"/>
        <v>0.9090909091</v>
      </c>
    </row>
    <row r="14">
      <c r="A14" s="206">
        <v>10.0</v>
      </c>
      <c r="B14" s="217"/>
      <c r="C14" s="58"/>
      <c r="D14" s="61" t="s">
        <v>15</v>
      </c>
      <c r="E14" s="61" t="s">
        <v>15</v>
      </c>
      <c r="F14" s="207" t="s">
        <v>16</v>
      </c>
      <c r="G14" s="61" t="s">
        <v>15</v>
      </c>
      <c r="H14" s="61" t="s">
        <v>15</v>
      </c>
      <c r="I14" s="59" t="s">
        <v>16</v>
      </c>
      <c r="J14" s="59" t="s">
        <v>15</v>
      </c>
      <c r="K14" s="59" t="s">
        <v>15</v>
      </c>
      <c r="L14" s="59" t="s">
        <v>15</v>
      </c>
      <c r="M14" s="59" t="s">
        <v>15</v>
      </c>
      <c r="N14" s="39" t="s">
        <v>15</v>
      </c>
      <c r="O14" s="59" t="s">
        <v>15</v>
      </c>
      <c r="P14" s="59" t="s">
        <v>15</v>
      </c>
      <c r="Q14" s="39" t="s">
        <v>15</v>
      </c>
      <c r="R14" s="39" t="s">
        <v>15</v>
      </c>
      <c r="S14" s="39" t="s">
        <v>15</v>
      </c>
      <c r="T14" s="39" t="s">
        <v>15</v>
      </c>
      <c r="U14" s="73" t="s">
        <v>16</v>
      </c>
      <c r="V14" s="39" t="s">
        <v>15</v>
      </c>
      <c r="W14" s="59" t="s">
        <v>16</v>
      </c>
      <c r="X14" s="138">
        <f t="shared" si="1"/>
        <v>0.8</v>
      </c>
      <c r="Y14" s="39" t="s">
        <v>15</v>
      </c>
      <c r="Z14" s="39" t="s">
        <v>15</v>
      </c>
      <c r="AA14" s="39" t="s">
        <v>15</v>
      </c>
      <c r="AB14" s="39" t="s">
        <v>15</v>
      </c>
      <c r="AC14" s="39" t="s">
        <v>15</v>
      </c>
      <c r="AD14" s="66" t="s">
        <v>15</v>
      </c>
      <c r="AE14" s="59" t="s">
        <v>16</v>
      </c>
      <c r="AF14" s="59" t="s">
        <v>15</v>
      </c>
      <c r="AG14" s="39" t="s">
        <v>15</v>
      </c>
      <c r="AH14" s="59" t="s">
        <v>15</v>
      </c>
      <c r="AI14" s="59" t="s">
        <v>15</v>
      </c>
      <c r="AJ14" s="39" t="s">
        <v>15</v>
      </c>
      <c r="AK14" s="39" t="s">
        <v>15</v>
      </c>
      <c r="AL14" s="39" t="s">
        <v>15</v>
      </c>
      <c r="AM14" s="39" t="s">
        <v>15</v>
      </c>
      <c r="AN14" s="39" t="s">
        <v>15</v>
      </c>
      <c r="AO14" s="39" t="s">
        <v>15</v>
      </c>
      <c r="AP14" s="39" t="s">
        <v>15</v>
      </c>
      <c r="AQ14" s="59" t="s">
        <v>15</v>
      </c>
      <c r="AR14" s="39" t="s">
        <v>15</v>
      </c>
      <c r="AS14" s="138">
        <f t="shared" si="2"/>
        <v>0.95</v>
      </c>
      <c r="AT14" s="70" t="s">
        <v>16</v>
      </c>
      <c r="AU14" s="59" t="s">
        <v>16</v>
      </c>
      <c r="AV14" s="59" t="s">
        <v>15</v>
      </c>
      <c r="AW14" s="59" t="s">
        <v>15</v>
      </c>
      <c r="AX14" s="39" t="s">
        <v>15</v>
      </c>
      <c r="AY14" s="39" t="s">
        <v>15</v>
      </c>
      <c r="AZ14" s="208" t="s">
        <v>15</v>
      </c>
      <c r="BA14" s="138">
        <f t="shared" si="3"/>
        <v>0.7142857143</v>
      </c>
      <c r="BB14" s="39" t="s">
        <v>15</v>
      </c>
      <c r="BC14" s="39" t="s">
        <v>15</v>
      </c>
      <c r="BD14" s="70" t="s">
        <v>16</v>
      </c>
      <c r="BE14" s="59" t="s">
        <v>16</v>
      </c>
      <c r="BF14" s="59" t="s">
        <v>15</v>
      </c>
      <c r="BG14" s="59" t="s">
        <v>15</v>
      </c>
      <c r="BH14" s="59" t="s">
        <v>15</v>
      </c>
      <c r="BI14" s="59" t="s">
        <v>15</v>
      </c>
      <c r="BJ14" s="73" t="s">
        <v>16</v>
      </c>
      <c r="BK14" s="75" t="s">
        <v>15</v>
      </c>
      <c r="BL14" s="75" t="s">
        <v>15</v>
      </c>
      <c r="BM14" s="208" t="s">
        <v>15</v>
      </c>
      <c r="BN14" s="75" t="s">
        <v>15</v>
      </c>
      <c r="BO14" s="75" t="s">
        <v>15</v>
      </c>
      <c r="BP14" s="73" t="s">
        <v>16</v>
      </c>
      <c r="BQ14" s="75" t="s">
        <v>15</v>
      </c>
      <c r="BR14" s="75" t="s">
        <v>15</v>
      </c>
      <c r="BS14" s="75" t="s">
        <v>15</v>
      </c>
      <c r="BT14" s="75" t="s">
        <v>15</v>
      </c>
      <c r="BU14" s="75" t="s">
        <v>15</v>
      </c>
      <c r="BV14" s="75" t="s">
        <v>15</v>
      </c>
      <c r="BW14" s="210" t="s">
        <v>15</v>
      </c>
      <c r="BX14" s="138">
        <f t="shared" si="4"/>
        <v>0.8181818182</v>
      </c>
    </row>
    <row r="15">
      <c r="A15" s="206">
        <v>11.0</v>
      </c>
      <c r="B15" s="57"/>
      <c r="C15" s="63"/>
      <c r="D15" s="61" t="s">
        <v>15</v>
      </c>
      <c r="E15" s="61" t="s">
        <v>15</v>
      </c>
      <c r="F15" s="207" t="s">
        <v>16</v>
      </c>
      <c r="G15" s="61" t="s">
        <v>15</v>
      </c>
      <c r="H15" s="61" t="s">
        <v>15</v>
      </c>
      <c r="I15" s="59" t="s">
        <v>16</v>
      </c>
      <c r="J15" s="59" t="s">
        <v>15</v>
      </c>
      <c r="K15" s="59" t="s">
        <v>15</v>
      </c>
      <c r="L15" s="59" t="s">
        <v>15</v>
      </c>
      <c r="M15" s="59" t="s">
        <v>15</v>
      </c>
      <c r="N15" s="39" t="s">
        <v>15</v>
      </c>
      <c r="O15" s="59" t="s">
        <v>15</v>
      </c>
      <c r="P15" s="59" t="s">
        <v>15</v>
      </c>
      <c r="Q15" s="39" t="s">
        <v>15</v>
      </c>
      <c r="R15" s="39" t="s">
        <v>15</v>
      </c>
      <c r="S15" s="39" t="s">
        <v>15</v>
      </c>
      <c r="T15" s="39" t="s">
        <v>15</v>
      </c>
      <c r="U15" s="75" t="s">
        <v>15</v>
      </c>
      <c r="V15" s="59" t="s">
        <v>16</v>
      </c>
      <c r="W15" s="39" t="s">
        <v>15</v>
      </c>
      <c r="X15" s="138">
        <f t="shared" si="1"/>
        <v>0.85</v>
      </c>
      <c r="Y15" s="39" t="s">
        <v>15</v>
      </c>
      <c r="Z15" s="39" t="s">
        <v>15</v>
      </c>
      <c r="AA15" s="39" t="s">
        <v>15</v>
      </c>
      <c r="AB15" s="39" t="s">
        <v>15</v>
      </c>
      <c r="AC15" s="39" t="s">
        <v>15</v>
      </c>
      <c r="AD15" s="39" t="s">
        <v>15</v>
      </c>
      <c r="AE15" s="59" t="s">
        <v>15</v>
      </c>
      <c r="AF15" s="39" t="s">
        <v>15</v>
      </c>
      <c r="AG15" s="70" t="s">
        <v>16</v>
      </c>
      <c r="AH15" s="59" t="s">
        <v>15</v>
      </c>
      <c r="AI15" s="59" t="s">
        <v>15</v>
      </c>
      <c r="AJ15" s="70" t="s">
        <v>16</v>
      </c>
      <c r="AK15" s="39" t="s">
        <v>15</v>
      </c>
      <c r="AL15" s="39" t="s">
        <v>15</v>
      </c>
      <c r="AM15" s="39" t="s">
        <v>15</v>
      </c>
      <c r="AN15" s="39" t="s">
        <v>15</v>
      </c>
      <c r="AO15" s="39" t="s">
        <v>15</v>
      </c>
      <c r="AP15" s="39" t="s">
        <v>15</v>
      </c>
      <c r="AQ15" s="59" t="s">
        <v>15</v>
      </c>
      <c r="AR15" s="39" t="s">
        <v>15</v>
      </c>
      <c r="AS15" s="138">
        <f t="shared" si="2"/>
        <v>0.9</v>
      </c>
      <c r="AT15" s="39" t="s">
        <v>15</v>
      </c>
      <c r="AU15" s="59" t="s">
        <v>15</v>
      </c>
      <c r="AV15" s="59" t="s">
        <v>15</v>
      </c>
      <c r="AW15" s="59" t="s">
        <v>15</v>
      </c>
      <c r="AX15" s="39" t="s">
        <v>15</v>
      </c>
      <c r="AY15" s="39" t="s">
        <v>15</v>
      </c>
      <c r="AZ15" s="208" t="s">
        <v>15</v>
      </c>
      <c r="BA15" s="138">
        <f t="shared" si="3"/>
        <v>1</v>
      </c>
      <c r="BB15" s="39" t="s">
        <v>15</v>
      </c>
      <c r="BC15" s="39" t="s">
        <v>15</v>
      </c>
      <c r="BD15" s="39" t="s">
        <v>15</v>
      </c>
      <c r="BE15" s="39" t="s">
        <v>15</v>
      </c>
      <c r="BF15" s="59" t="s">
        <v>15</v>
      </c>
      <c r="BG15" s="39" t="s">
        <v>15</v>
      </c>
      <c r="BH15" s="39" t="s">
        <v>15</v>
      </c>
      <c r="BI15" s="39" t="s">
        <v>15</v>
      </c>
      <c r="BJ15" s="75" t="s">
        <v>15</v>
      </c>
      <c r="BK15" s="218" t="s">
        <v>16</v>
      </c>
      <c r="BL15" s="75" t="s">
        <v>15</v>
      </c>
      <c r="BM15" s="208" t="s">
        <v>15</v>
      </c>
      <c r="BN15" s="75" t="s">
        <v>15</v>
      </c>
      <c r="BO15" s="75" t="s">
        <v>15</v>
      </c>
      <c r="BP15" s="75" t="s">
        <v>15</v>
      </c>
      <c r="BQ15" s="75" t="s">
        <v>15</v>
      </c>
      <c r="BR15" s="75" t="s">
        <v>15</v>
      </c>
      <c r="BS15" s="75" t="s">
        <v>15</v>
      </c>
      <c r="BT15" s="75" t="s">
        <v>15</v>
      </c>
      <c r="BU15" s="75" t="s">
        <v>15</v>
      </c>
      <c r="BV15" s="75" t="s">
        <v>15</v>
      </c>
      <c r="BW15" s="212" t="s">
        <v>16</v>
      </c>
      <c r="BX15" s="138">
        <f t="shared" si="4"/>
        <v>0.9090909091</v>
      </c>
    </row>
    <row r="16">
      <c r="A16" s="206">
        <v>12.0</v>
      </c>
      <c r="B16" s="92"/>
      <c r="C16" s="112" t="s">
        <v>19</v>
      </c>
      <c r="D16" s="218" t="s">
        <v>20</v>
      </c>
      <c r="E16" s="218" t="s">
        <v>20</v>
      </c>
      <c r="F16" s="218" t="s">
        <v>20</v>
      </c>
      <c r="G16" s="218" t="s">
        <v>20</v>
      </c>
      <c r="H16" s="218" t="s">
        <v>20</v>
      </c>
      <c r="I16" s="218" t="s">
        <v>20</v>
      </c>
      <c r="J16" s="218" t="s">
        <v>20</v>
      </c>
      <c r="K16" s="218" t="s">
        <v>20</v>
      </c>
      <c r="L16" s="218" t="s">
        <v>20</v>
      </c>
      <c r="M16" s="218" t="s">
        <v>20</v>
      </c>
      <c r="N16" s="218" t="s">
        <v>20</v>
      </c>
      <c r="O16" s="218" t="s">
        <v>20</v>
      </c>
      <c r="P16" s="218" t="s">
        <v>20</v>
      </c>
      <c r="Q16" s="218" t="s">
        <v>20</v>
      </c>
      <c r="R16" s="218" t="s">
        <v>20</v>
      </c>
      <c r="S16" s="218" t="s">
        <v>20</v>
      </c>
      <c r="T16" s="218" t="s">
        <v>20</v>
      </c>
      <c r="U16" s="218" t="s">
        <v>20</v>
      </c>
      <c r="V16" s="218" t="s">
        <v>20</v>
      </c>
      <c r="W16" s="218" t="s">
        <v>20</v>
      </c>
      <c r="X16" s="40" t="str">
        <f t="shared" si="1"/>
        <v>0,00%</v>
      </c>
      <c r="Y16" s="218" t="s">
        <v>20</v>
      </c>
      <c r="Z16" s="218" t="s">
        <v>20</v>
      </c>
      <c r="AA16" s="218" t="s">
        <v>20</v>
      </c>
      <c r="AB16" s="218" t="s">
        <v>20</v>
      </c>
      <c r="AC16" s="218" t="s">
        <v>20</v>
      </c>
      <c r="AD16" s="218" t="s">
        <v>20</v>
      </c>
      <c r="AE16" s="218" t="s">
        <v>20</v>
      </c>
      <c r="AF16" s="218" t="s">
        <v>20</v>
      </c>
      <c r="AG16" s="218" t="s">
        <v>20</v>
      </c>
      <c r="AH16" s="218" t="s">
        <v>20</v>
      </c>
      <c r="AI16" s="218" t="s">
        <v>20</v>
      </c>
      <c r="AJ16" s="218" t="s">
        <v>20</v>
      </c>
      <c r="AK16" s="218" t="s">
        <v>20</v>
      </c>
      <c r="AL16" s="218" t="s">
        <v>20</v>
      </c>
      <c r="AM16" s="218" t="s">
        <v>20</v>
      </c>
      <c r="AN16" s="218" t="s">
        <v>20</v>
      </c>
      <c r="AO16" s="218" t="s">
        <v>20</v>
      </c>
      <c r="AP16" s="218" t="s">
        <v>20</v>
      </c>
      <c r="AQ16" s="218" t="s">
        <v>20</v>
      </c>
      <c r="AR16" s="218" t="s">
        <v>20</v>
      </c>
      <c r="AS16" s="40" t="str">
        <f t="shared" si="2"/>
        <v>0,00%</v>
      </c>
      <c r="AT16" s="49" t="s">
        <v>18</v>
      </c>
      <c r="AU16" s="49" t="s">
        <v>18</v>
      </c>
      <c r="AV16" s="49" t="s">
        <v>18</v>
      </c>
      <c r="AW16" s="49" t="s">
        <v>18</v>
      </c>
      <c r="AX16" s="49" t="s">
        <v>18</v>
      </c>
      <c r="AY16" s="49" t="s">
        <v>18</v>
      </c>
      <c r="AZ16" s="49" t="s">
        <v>18</v>
      </c>
      <c r="BA16" s="40" t="str">
        <f t="shared" si="3"/>
        <v>0,00%</v>
      </c>
      <c r="BB16" s="49" t="s">
        <v>18</v>
      </c>
      <c r="BC16" s="49" t="s">
        <v>18</v>
      </c>
      <c r="BD16" s="49" t="s">
        <v>18</v>
      </c>
      <c r="BE16" s="49" t="s">
        <v>18</v>
      </c>
      <c r="BF16" s="49" t="s">
        <v>18</v>
      </c>
      <c r="BG16" s="49" t="s">
        <v>18</v>
      </c>
      <c r="BH16" s="49" t="s">
        <v>18</v>
      </c>
      <c r="BI16" s="49" t="s">
        <v>18</v>
      </c>
      <c r="BJ16" s="49" t="s">
        <v>18</v>
      </c>
      <c r="BK16" s="49" t="s">
        <v>18</v>
      </c>
      <c r="BL16" s="49" t="s">
        <v>18</v>
      </c>
      <c r="BM16" s="42" t="s">
        <v>18</v>
      </c>
      <c r="BN16" s="33" t="s">
        <v>18</v>
      </c>
      <c r="BO16" s="33" t="s">
        <v>18</v>
      </c>
      <c r="BP16" s="33" t="s">
        <v>18</v>
      </c>
      <c r="BQ16" s="222" t="s">
        <v>18</v>
      </c>
      <c r="BR16" s="222" t="s">
        <v>18</v>
      </c>
      <c r="BS16" s="222" t="s">
        <v>18</v>
      </c>
      <c r="BT16" s="222" t="s">
        <v>18</v>
      </c>
      <c r="BU16" s="222" t="s">
        <v>18</v>
      </c>
      <c r="BV16" s="222" t="s">
        <v>18</v>
      </c>
      <c r="BW16" s="223" t="s">
        <v>18</v>
      </c>
      <c r="BX16" s="40" t="str">
        <f t="shared" si="4"/>
        <v>0,00%</v>
      </c>
    </row>
    <row r="17">
      <c r="A17" s="206">
        <v>13.0</v>
      </c>
      <c r="B17" s="91"/>
      <c r="C17" s="113"/>
      <c r="D17" s="61" t="s">
        <v>15</v>
      </c>
      <c r="E17" s="61" t="s">
        <v>15</v>
      </c>
      <c r="F17" s="207" t="s">
        <v>16</v>
      </c>
      <c r="G17" s="148" t="s">
        <v>16</v>
      </c>
      <c r="H17" s="59" t="s">
        <v>16</v>
      </c>
      <c r="I17" s="224" t="s">
        <v>15</v>
      </c>
      <c r="J17" s="59" t="s">
        <v>15</v>
      </c>
      <c r="K17" s="59" t="s">
        <v>15</v>
      </c>
      <c r="L17" s="59" t="s">
        <v>15</v>
      </c>
      <c r="M17" s="224" t="s">
        <v>15</v>
      </c>
      <c r="N17" s="39" t="s">
        <v>15</v>
      </c>
      <c r="O17" s="225" t="s">
        <v>15</v>
      </c>
      <c r="P17" s="59" t="s">
        <v>15</v>
      </c>
      <c r="Q17" s="70" t="s">
        <v>16</v>
      </c>
      <c r="R17" s="39" t="s">
        <v>15</v>
      </c>
      <c r="S17" s="70" t="s">
        <v>16</v>
      </c>
      <c r="T17" s="39" t="s">
        <v>15</v>
      </c>
      <c r="U17" s="75" t="s">
        <v>15</v>
      </c>
      <c r="V17" s="39" t="s">
        <v>15</v>
      </c>
      <c r="W17" s="59" t="s">
        <v>16</v>
      </c>
      <c r="X17" s="138">
        <f t="shared" si="1"/>
        <v>0.7</v>
      </c>
      <c r="Y17" s="59" t="s">
        <v>16</v>
      </c>
      <c r="Z17" s="39" t="s">
        <v>15</v>
      </c>
      <c r="AA17" s="70" t="s">
        <v>16</v>
      </c>
      <c r="AB17" s="70" t="s">
        <v>16</v>
      </c>
      <c r="AC17" s="39" t="s">
        <v>15</v>
      </c>
      <c r="AD17" s="70" t="s">
        <v>16</v>
      </c>
      <c r="AE17" s="39" t="s">
        <v>15</v>
      </c>
      <c r="AF17" s="39" t="s">
        <v>15</v>
      </c>
      <c r="AG17" s="39" t="s">
        <v>15</v>
      </c>
      <c r="AH17" s="59" t="s">
        <v>15</v>
      </c>
      <c r="AI17" s="59" t="s">
        <v>15</v>
      </c>
      <c r="AJ17" s="70" t="s">
        <v>16</v>
      </c>
      <c r="AK17" s="39" t="s">
        <v>15</v>
      </c>
      <c r="AL17" s="39" t="s">
        <v>15</v>
      </c>
      <c r="AM17" s="39" t="s">
        <v>15</v>
      </c>
      <c r="AN17" s="70" t="s">
        <v>16</v>
      </c>
      <c r="AO17" s="59" t="s">
        <v>16</v>
      </c>
      <c r="AP17" s="39" t="s">
        <v>15</v>
      </c>
      <c r="AQ17" s="59" t="s">
        <v>16</v>
      </c>
      <c r="AR17" s="39" t="s">
        <v>15</v>
      </c>
      <c r="AS17" s="138">
        <f t="shared" si="2"/>
        <v>0.6</v>
      </c>
      <c r="AT17" s="70" t="s">
        <v>16</v>
      </c>
      <c r="AU17" s="59" t="s">
        <v>16</v>
      </c>
      <c r="AV17" s="59" t="s">
        <v>16</v>
      </c>
      <c r="AW17" s="59" t="s">
        <v>15</v>
      </c>
      <c r="AX17" s="39" t="s">
        <v>15</v>
      </c>
      <c r="AY17" s="70" t="s">
        <v>16</v>
      </c>
      <c r="AZ17" s="208" t="s">
        <v>16</v>
      </c>
      <c r="BA17" s="138">
        <f t="shared" si="3"/>
        <v>0.2857142857</v>
      </c>
      <c r="BB17" s="39" t="s">
        <v>15</v>
      </c>
      <c r="BC17" s="39" t="s">
        <v>15</v>
      </c>
      <c r="BD17" s="39" t="s">
        <v>15</v>
      </c>
      <c r="BE17" s="59" t="s">
        <v>16</v>
      </c>
      <c r="BF17" s="59" t="s">
        <v>15</v>
      </c>
      <c r="BG17" s="59" t="s">
        <v>15</v>
      </c>
      <c r="BH17" s="59" t="s">
        <v>16</v>
      </c>
      <c r="BI17" s="59" t="s">
        <v>15</v>
      </c>
      <c r="BJ17" s="75" t="s">
        <v>15</v>
      </c>
      <c r="BK17" s="75" t="s">
        <v>15</v>
      </c>
      <c r="BL17" s="75" t="s">
        <v>15</v>
      </c>
      <c r="BM17" s="208" t="s">
        <v>15</v>
      </c>
      <c r="BN17" s="75" t="s">
        <v>15</v>
      </c>
      <c r="BO17" s="59" t="s">
        <v>16</v>
      </c>
      <c r="BP17" s="73" t="s">
        <v>16</v>
      </c>
      <c r="BQ17" s="75" t="s">
        <v>15</v>
      </c>
      <c r="BR17" s="75" t="s">
        <v>15</v>
      </c>
      <c r="BS17" s="75" t="s">
        <v>15</v>
      </c>
      <c r="BT17" s="75" t="s">
        <v>15</v>
      </c>
      <c r="BU17" s="75" t="s">
        <v>15</v>
      </c>
      <c r="BV17" s="66" t="s">
        <v>16</v>
      </c>
      <c r="BW17" s="212" t="s">
        <v>16</v>
      </c>
      <c r="BX17" s="138">
        <f t="shared" si="4"/>
        <v>0.7272727273</v>
      </c>
    </row>
    <row r="18">
      <c r="A18" s="206">
        <v>14.0</v>
      </c>
      <c r="B18" s="57"/>
      <c r="C18" s="26"/>
      <c r="D18" s="207" t="s">
        <v>16</v>
      </c>
      <c r="E18" s="61" t="s">
        <v>15</v>
      </c>
      <c r="F18" s="61" t="s">
        <v>15</v>
      </c>
      <c r="G18" s="61" t="s">
        <v>15</v>
      </c>
      <c r="H18" s="59" t="s">
        <v>16</v>
      </c>
      <c r="I18" s="59" t="s">
        <v>16</v>
      </c>
      <c r="J18" s="59" t="s">
        <v>15</v>
      </c>
      <c r="K18" s="59" t="s">
        <v>15</v>
      </c>
      <c r="L18" s="59" t="s">
        <v>15</v>
      </c>
      <c r="M18" s="59" t="s">
        <v>15</v>
      </c>
      <c r="N18" s="39" t="s">
        <v>15</v>
      </c>
      <c r="O18" s="59" t="s">
        <v>15</v>
      </c>
      <c r="P18" s="59" t="s">
        <v>15</v>
      </c>
      <c r="Q18" s="39" t="s">
        <v>15</v>
      </c>
      <c r="R18" s="59" t="s">
        <v>16</v>
      </c>
      <c r="S18" s="39" t="s">
        <v>15</v>
      </c>
      <c r="T18" s="39" t="s">
        <v>15</v>
      </c>
      <c r="U18" s="75" t="s">
        <v>15</v>
      </c>
      <c r="V18" s="39" t="s">
        <v>15</v>
      </c>
      <c r="W18" s="39" t="s">
        <v>15</v>
      </c>
      <c r="X18" s="138">
        <f t="shared" si="1"/>
        <v>0.8</v>
      </c>
      <c r="Y18" s="39" t="s">
        <v>15</v>
      </c>
      <c r="Z18" s="39" t="s">
        <v>15</v>
      </c>
      <c r="AA18" s="70" t="s">
        <v>16</v>
      </c>
      <c r="AB18" s="39" t="s">
        <v>15</v>
      </c>
      <c r="AC18" s="39" t="s">
        <v>15</v>
      </c>
      <c r="AD18" s="39" t="s">
        <v>15</v>
      </c>
      <c r="AE18" s="59" t="s">
        <v>16</v>
      </c>
      <c r="AF18" s="39" t="s">
        <v>15</v>
      </c>
      <c r="AG18" s="70" t="s">
        <v>16</v>
      </c>
      <c r="AH18" s="59" t="s">
        <v>15</v>
      </c>
      <c r="AI18" s="59" t="s">
        <v>15</v>
      </c>
      <c r="AJ18" s="70" t="s">
        <v>16</v>
      </c>
      <c r="AK18" s="39" t="s">
        <v>15</v>
      </c>
      <c r="AL18" s="39" t="s">
        <v>15</v>
      </c>
      <c r="AM18" s="39" t="s">
        <v>15</v>
      </c>
      <c r="AN18" s="70" t="s">
        <v>16</v>
      </c>
      <c r="AO18" s="39" t="s">
        <v>15</v>
      </c>
      <c r="AP18" s="39" t="s">
        <v>15</v>
      </c>
      <c r="AQ18" s="59" t="s">
        <v>15</v>
      </c>
      <c r="AR18" s="39" t="s">
        <v>15</v>
      </c>
      <c r="AS18" s="138">
        <f t="shared" si="2"/>
        <v>0.75</v>
      </c>
      <c r="AT18" s="39" t="s">
        <v>15</v>
      </c>
      <c r="AU18" s="59" t="s">
        <v>16</v>
      </c>
      <c r="AV18" s="59" t="s">
        <v>15</v>
      </c>
      <c r="AW18" s="59" t="s">
        <v>16</v>
      </c>
      <c r="AX18" s="70" t="s">
        <v>16</v>
      </c>
      <c r="AY18" s="70" t="s">
        <v>16</v>
      </c>
      <c r="AZ18" s="208" t="s">
        <v>16</v>
      </c>
      <c r="BA18" s="138">
        <f t="shared" si="3"/>
        <v>0.2857142857</v>
      </c>
      <c r="BB18" s="39" t="s">
        <v>15</v>
      </c>
      <c r="BC18" s="39" t="s">
        <v>15</v>
      </c>
      <c r="BD18" s="39" t="s">
        <v>15</v>
      </c>
      <c r="BE18" s="39" t="s">
        <v>15</v>
      </c>
      <c r="BF18" s="59" t="s">
        <v>15</v>
      </c>
      <c r="BG18" s="39" t="s">
        <v>15</v>
      </c>
      <c r="BH18" s="39" t="s">
        <v>15</v>
      </c>
      <c r="BI18" s="39" t="s">
        <v>15</v>
      </c>
      <c r="BJ18" s="73" t="s">
        <v>16</v>
      </c>
      <c r="BK18" s="75" t="s">
        <v>15</v>
      </c>
      <c r="BL18" s="75" t="s">
        <v>15</v>
      </c>
      <c r="BM18" s="208" t="s">
        <v>15</v>
      </c>
      <c r="BN18" s="75" t="s">
        <v>15</v>
      </c>
      <c r="BO18" s="75" t="s">
        <v>15</v>
      </c>
      <c r="BP18" s="75" t="s">
        <v>15</v>
      </c>
      <c r="BQ18" s="75" t="s">
        <v>15</v>
      </c>
      <c r="BR18" s="75" t="s">
        <v>15</v>
      </c>
      <c r="BS18" s="75" t="s">
        <v>15</v>
      </c>
      <c r="BT18" s="75" t="s">
        <v>15</v>
      </c>
      <c r="BU18" s="66" t="s">
        <v>16</v>
      </c>
      <c r="BV18" s="75" t="s">
        <v>15</v>
      </c>
      <c r="BW18" s="212" t="s">
        <v>16</v>
      </c>
      <c r="BX18" s="138">
        <f t="shared" si="4"/>
        <v>0.8636363636</v>
      </c>
    </row>
    <row r="19">
      <c r="A19" s="206">
        <v>15.0</v>
      </c>
      <c r="B19" s="226"/>
      <c r="C19" s="26"/>
      <c r="D19" s="207" t="s">
        <v>16</v>
      </c>
      <c r="E19" s="61" t="s">
        <v>15</v>
      </c>
      <c r="F19" s="61" t="s">
        <v>15</v>
      </c>
      <c r="G19" s="61" t="s">
        <v>15</v>
      </c>
      <c r="H19" s="59" t="s">
        <v>16</v>
      </c>
      <c r="I19" s="59" t="s">
        <v>16</v>
      </c>
      <c r="J19" s="59" t="s">
        <v>15</v>
      </c>
      <c r="K19" s="59" t="s">
        <v>16</v>
      </c>
      <c r="L19" s="59" t="s">
        <v>15</v>
      </c>
      <c r="M19" s="59" t="s">
        <v>15</v>
      </c>
      <c r="N19" s="39" t="s">
        <v>15</v>
      </c>
      <c r="O19" s="59" t="s">
        <v>15</v>
      </c>
      <c r="P19" s="59" t="s">
        <v>15</v>
      </c>
      <c r="Q19" s="39" t="s">
        <v>15</v>
      </c>
      <c r="R19" s="39" t="s">
        <v>15</v>
      </c>
      <c r="S19" s="70" t="s">
        <v>16</v>
      </c>
      <c r="T19" s="39" t="s">
        <v>15</v>
      </c>
      <c r="U19" s="75" t="s">
        <v>15</v>
      </c>
      <c r="V19" s="39" t="s">
        <v>15</v>
      </c>
      <c r="W19" s="59" t="s">
        <v>16</v>
      </c>
      <c r="X19" s="138">
        <f t="shared" si="1"/>
        <v>0.7</v>
      </c>
      <c r="Y19" s="59" t="s">
        <v>16</v>
      </c>
      <c r="Z19" s="39" t="s">
        <v>15</v>
      </c>
      <c r="AA19" s="70" t="s">
        <v>16</v>
      </c>
      <c r="AB19" s="39" t="s">
        <v>15</v>
      </c>
      <c r="AC19" s="39" t="s">
        <v>15</v>
      </c>
      <c r="AD19" s="70" t="s">
        <v>16</v>
      </c>
      <c r="AE19" s="59" t="s">
        <v>16</v>
      </c>
      <c r="AF19" s="59" t="s">
        <v>16</v>
      </c>
      <c r="AG19" s="70" t="s">
        <v>16</v>
      </c>
      <c r="AH19" s="59" t="s">
        <v>15</v>
      </c>
      <c r="AI19" s="59" t="s">
        <v>16</v>
      </c>
      <c r="AJ19" s="39" t="s">
        <v>15</v>
      </c>
      <c r="AK19" s="39" t="s">
        <v>15</v>
      </c>
      <c r="AL19" s="39" t="s">
        <v>15</v>
      </c>
      <c r="AM19" s="39" t="s">
        <v>15</v>
      </c>
      <c r="AN19" s="70" t="s">
        <v>16</v>
      </c>
      <c r="AO19" s="59" t="s">
        <v>15</v>
      </c>
      <c r="AP19" s="39" t="s">
        <v>15</v>
      </c>
      <c r="AQ19" s="59" t="s">
        <v>15</v>
      </c>
      <c r="AR19" s="59" t="s">
        <v>16</v>
      </c>
      <c r="AS19" s="138">
        <f t="shared" si="2"/>
        <v>0.55</v>
      </c>
      <c r="AT19" s="39" t="s">
        <v>15</v>
      </c>
      <c r="AU19" s="59" t="s">
        <v>16</v>
      </c>
      <c r="AV19" s="59" t="s">
        <v>15</v>
      </c>
      <c r="AW19" s="59" t="s">
        <v>16</v>
      </c>
      <c r="AX19" s="70" t="s">
        <v>16</v>
      </c>
      <c r="AY19" s="70" t="s">
        <v>16</v>
      </c>
      <c r="AZ19" s="208" t="s">
        <v>16</v>
      </c>
      <c r="BA19" s="138">
        <f t="shared" si="3"/>
        <v>0.2857142857</v>
      </c>
      <c r="BB19" s="66" t="s">
        <v>16</v>
      </c>
      <c r="BC19" s="70" t="s">
        <v>16</v>
      </c>
      <c r="BD19" s="70" t="s">
        <v>16</v>
      </c>
      <c r="BE19" s="39" t="s">
        <v>15</v>
      </c>
      <c r="BF19" s="59" t="s">
        <v>15</v>
      </c>
      <c r="BG19" s="39" t="s">
        <v>16</v>
      </c>
      <c r="BH19" s="39" t="s">
        <v>15</v>
      </c>
      <c r="BI19" s="39" t="s">
        <v>15</v>
      </c>
      <c r="BJ19" s="75" t="s">
        <v>15</v>
      </c>
      <c r="BK19" s="75" t="s">
        <v>15</v>
      </c>
      <c r="BL19" s="73" t="s">
        <v>16</v>
      </c>
      <c r="BM19" s="208" t="s">
        <v>15</v>
      </c>
      <c r="BN19" s="75" t="s">
        <v>15</v>
      </c>
      <c r="BO19" s="75" t="s">
        <v>15</v>
      </c>
      <c r="BP19" s="73" t="s">
        <v>16</v>
      </c>
      <c r="BQ19" s="75" t="s">
        <v>15</v>
      </c>
      <c r="BR19" s="75" t="s">
        <v>15</v>
      </c>
      <c r="BS19" s="75" t="s">
        <v>15</v>
      </c>
      <c r="BT19" s="75" t="s">
        <v>15</v>
      </c>
      <c r="BU19" s="75" t="s">
        <v>15</v>
      </c>
      <c r="BV19" s="75" t="s">
        <v>15</v>
      </c>
      <c r="BW19" s="212" t="s">
        <v>16</v>
      </c>
      <c r="BX19" s="138">
        <f t="shared" si="4"/>
        <v>0.6818181818</v>
      </c>
    </row>
    <row r="20">
      <c r="A20" s="206">
        <v>16.0</v>
      </c>
      <c r="B20" s="62"/>
      <c r="C20" s="58"/>
      <c r="D20" s="61" t="s">
        <v>15</v>
      </c>
      <c r="E20" s="61" t="s">
        <v>15</v>
      </c>
      <c r="F20" s="61" t="s">
        <v>15</v>
      </c>
      <c r="G20" s="228" t="s">
        <v>15</v>
      </c>
      <c r="H20" s="61" t="s">
        <v>15</v>
      </c>
      <c r="I20" s="59" t="s">
        <v>15</v>
      </c>
      <c r="J20" s="59" t="s">
        <v>15</v>
      </c>
      <c r="K20" s="59" t="s">
        <v>16</v>
      </c>
      <c r="L20" s="59" t="s">
        <v>15</v>
      </c>
      <c r="M20" s="59" t="s">
        <v>15</v>
      </c>
      <c r="N20" s="39" t="s">
        <v>15</v>
      </c>
      <c r="O20" s="59" t="s">
        <v>15</v>
      </c>
      <c r="P20" s="59" t="s">
        <v>15</v>
      </c>
      <c r="Q20" s="39" t="s">
        <v>15</v>
      </c>
      <c r="R20" s="39" t="s">
        <v>15</v>
      </c>
      <c r="S20" s="39" t="s">
        <v>15</v>
      </c>
      <c r="T20" s="39" t="s">
        <v>15</v>
      </c>
      <c r="U20" s="75" t="s">
        <v>15</v>
      </c>
      <c r="V20" s="39" t="s">
        <v>15</v>
      </c>
      <c r="W20" s="39" t="s">
        <v>15</v>
      </c>
      <c r="X20" s="138">
        <f t="shared" si="1"/>
        <v>0.95</v>
      </c>
      <c r="Y20" s="59" t="s">
        <v>16</v>
      </c>
      <c r="Z20" s="39" t="s">
        <v>15</v>
      </c>
      <c r="AA20" s="39" t="s">
        <v>15</v>
      </c>
      <c r="AB20" s="39" t="s">
        <v>15</v>
      </c>
      <c r="AC20" s="39" t="s">
        <v>15</v>
      </c>
      <c r="AD20" s="39" t="s">
        <v>15</v>
      </c>
      <c r="AE20" s="39" t="s">
        <v>15</v>
      </c>
      <c r="AF20" s="39" t="s">
        <v>15</v>
      </c>
      <c r="AG20" s="70" t="s">
        <v>16</v>
      </c>
      <c r="AH20" s="59" t="s">
        <v>15</v>
      </c>
      <c r="AI20" s="59" t="s">
        <v>15</v>
      </c>
      <c r="AJ20" s="39" t="s">
        <v>15</v>
      </c>
      <c r="AK20" s="39" t="s">
        <v>15</v>
      </c>
      <c r="AL20" s="39" t="s">
        <v>15</v>
      </c>
      <c r="AM20" s="39" t="s">
        <v>15</v>
      </c>
      <c r="AN20" s="70" t="s">
        <v>16</v>
      </c>
      <c r="AO20" s="39" t="s">
        <v>15</v>
      </c>
      <c r="AP20" s="39" t="s">
        <v>15</v>
      </c>
      <c r="AQ20" s="59" t="s">
        <v>15</v>
      </c>
      <c r="AR20" s="59" t="s">
        <v>16</v>
      </c>
      <c r="AS20" s="138">
        <f t="shared" si="2"/>
        <v>0.8</v>
      </c>
      <c r="AT20" s="70" t="s">
        <v>16</v>
      </c>
      <c r="AU20" s="59" t="s">
        <v>16</v>
      </c>
      <c r="AV20" s="59" t="s">
        <v>15</v>
      </c>
      <c r="AW20" s="59" t="s">
        <v>15</v>
      </c>
      <c r="AX20" s="39" t="s">
        <v>15</v>
      </c>
      <c r="AY20" s="39" t="s">
        <v>15</v>
      </c>
      <c r="AZ20" s="208" t="s">
        <v>15</v>
      </c>
      <c r="BA20" s="138">
        <f t="shared" si="3"/>
        <v>0.7142857143</v>
      </c>
      <c r="BB20" s="39" t="s">
        <v>15</v>
      </c>
      <c r="BC20" s="70" t="s">
        <v>16</v>
      </c>
      <c r="BD20" s="39" t="s">
        <v>15</v>
      </c>
      <c r="BE20" s="39" t="s">
        <v>15</v>
      </c>
      <c r="BF20" s="59" t="s">
        <v>15</v>
      </c>
      <c r="BG20" s="39" t="s">
        <v>15</v>
      </c>
      <c r="BH20" s="39" t="s">
        <v>15</v>
      </c>
      <c r="BI20" s="39" t="s">
        <v>15</v>
      </c>
      <c r="BJ20" s="75" t="s">
        <v>15</v>
      </c>
      <c r="BK20" s="75" t="s">
        <v>15</v>
      </c>
      <c r="BL20" s="75" t="s">
        <v>15</v>
      </c>
      <c r="BM20" s="208" t="s">
        <v>15</v>
      </c>
      <c r="BN20" s="75" t="s">
        <v>15</v>
      </c>
      <c r="BO20" s="75" t="s">
        <v>15</v>
      </c>
      <c r="BP20" s="73" t="s">
        <v>16</v>
      </c>
      <c r="BQ20" s="75" t="s">
        <v>15</v>
      </c>
      <c r="BR20" s="75" t="s">
        <v>15</v>
      </c>
      <c r="BS20" s="75" t="s">
        <v>15</v>
      </c>
      <c r="BT20" s="75" t="s">
        <v>15</v>
      </c>
      <c r="BU20" s="66" t="s">
        <v>16</v>
      </c>
      <c r="BV20" s="75" t="s">
        <v>15</v>
      </c>
      <c r="BW20" s="229" t="s">
        <v>15</v>
      </c>
      <c r="BX20" s="138">
        <f t="shared" si="4"/>
        <v>0.8636363636</v>
      </c>
    </row>
    <row r="21">
      <c r="A21" s="206">
        <v>17.0</v>
      </c>
      <c r="B21" s="57"/>
      <c r="C21" s="58"/>
      <c r="D21" s="207" t="s">
        <v>16</v>
      </c>
      <c r="E21" s="61" t="s">
        <v>15</v>
      </c>
      <c r="F21" s="61" t="s">
        <v>15</v>
      </c>
      <c r="G21" s="61" t="s">
        <v>15</v>
      </c>
      <c r="H21" s="61" t="s">
        <v>15</v>
      </c>
      <c r="I21" s="59" t="s">
        <v>15</v>
      </c>
      <c r="J21" s="59" t="s">
        <v>15</v>
      </c>
      <c r="K21" s="59" t="s">
        <v>16</v>
      </c>
      <c r="L21" s="59" t="s">
        <v>15</v>
      </c>
      <c r="M21" s="59" t="s">
        <v>15</v>
      </c>
      <c r="N21" s="39" t="s">
        <v>15</v>
      </c>
      <c r="O21" s="59" t="s">
        <v>15</v>
      </c>
      <c r="P21" s="59" t="s">
        <v>15</v>
      </c>
      <c r="Q21" s="39" t="s">
        <v>15</v>
      </c>
      <c r="R21" s="39" t="s">
        <v>15</v>
      </c>
      <c r="S21" s="39" t="s">
        <v>15</v>
      </c>
      <c r="T21" s="39" t="s">
        <v>15</v>
      </c>
      <c r="U21" s="75" t="s">
        <v>15</v>
      </c>
      <c r="V21" s="39" t="s">
        <v>15</v>
      </c>
      <c r="W21" s="39" t="s">
        <v>15</v>
      </c>
      <c r="X21" s="138">
        <f t="shared" si="1"/>
        <v>0.9</v>
      </c>
      <c r="Y21" s="39" t="s">
        <v>15</v>
      </c>
      <c r="Z21" s="39" t="s">
        <v>15</v>
      </c>
      <c r="AA21" s="39" t="s">
        <v>15</v>
      </c>
      <c r="AB21" s="39" t="s">
        <v>15</v>
      </c>
      <c r="AC21" s="39" t="s">
        <v>15</v>
      </c>
      <c r="AD21" s="39" t="s">
        <v>15</v>
      </c>
      <c r="AE21" s="39" t="s">
        <v>15</v>
      </c>
      <c r="AF21" s="39" t="s">
        <v>15</v>
      </c>
      <c r="AG21" s="39" t="s">
        <v>15</v>
      </c>
      <c r="AH21" s="59" t="s">
        <v>15</v>
      </c>
      <c r="AI21" s="59" t="s">
        <v>15</v>
      </c>
      <c r="AJ21" s="39" t="s">
        <v>15</v>
      </c>
      <c r="AK21" s="39" t="s">
        <v>15</v>
      </c>
      <c r="AL21" s="39" t="s">
        <v>15</v>
      </c>
      <c r="AM21" s="39" t="s">
        <v>15</v>
      </c>
      <c r="AN21" s="39" t="s">
        <v>15</v>
      </c>
      <c r="AO21" s="39" t="s">
        <v>15</v>
      </c>
      <c r="AP21" s="39" t="s">
        <v>15</v>
      </c>
      <c r="AQ21" s="59" t="s">
        <v>15</v>
      </c>
      <c r="AR21" s="39" t="s">
        <v>15</v>
      </c>
      <c r="AS21" s="138">
        <f t="shared" si="2"/>
        <v>1</v>
      </c>
      <c r="AT21" s="39" t="s">
        <v>15</v>
      </c>
      <c r="AU21" s="59" t="s">
        <v>16</v>
      </c>
      <c r="AV21" s="59" t="s">
        <v>15</v>
      </c>
      <c r="AW21" s="59" t="s">
        <v>15</v>
      </c>
      <c r="AX21" s="39" t="s">
        <v>15</v>
      </c>
      <c r="AY21" s="39" t="s">
        <v>15</v>
      </c>
      <c r="AZ21" s="208" t="s">
        <v>15</v>
      </c>
      <c r="BA21" s="138">
        <f t="shared" si="3"/>
        <v>0.8571428571</v>
      </c>
      <c r="BB21" s="39" t="s">
        <v>15</v>
      </c>
      <c r="BC21" s="70" t="s">
        <v>16</v>
      </c>
      <c r="BD21" s="70" t="s">
        <v>16</v>
      </c>
      <c r="BE21" s="59" t="s">
        <v>16</v>
      </c>
      <c r="BF21" s="59" t="s">
        <v>15</v>
      </c>
      <c r="BG21" s="59" t="s">
        <v>15</v>
      </c>
      <c r="BH21" s="59" t="s">
        <v>15</v>
      </c>
      <c r="BI21" s="59" t="s">
        <v>15</v>
      </c>
      <c r="BJ21" s="75" t="s">
        <v>15</v>
      </c>
      <c r="BK21" s="75" t="s">
        <v>15</v>
      </c>
      <c r="BL21" s="75" t="s">
        <v>15</v>
      </c>
      <c r="BM21" s="208" t="s">
        <v>15</v>
      </c>
      <c r="BN21" s="75" t="s">
        <v>15</v>
      </c>
      <c r="BO21" s="75" t="s">
        <v>15</v>
      </c>
      <c r="BP21" s="75" t="s">
        <v>15</v>
      </c>
      <c r="BQ21" s="75" t="s">
        <v>15</v>
      </c>
      <c r="BR21" s="75" t="s">
        <v>15</v>
      </c>
      <c r="BS21" s="75" t="s">
        <v>15</v>
      </c>
      <c r="BT21" s="75" t="s">
        <v>15</v>
      </c>
      <c r="BU21" s="75" t="s">
        <v>15</v>
      </c>
      <c r="BV21" s="75" t="s">
        <v>15</v>
      </c>
      <c r="BW21" s="210" t="s">
        <v>15</v>
      </c>
      <c r="BX21" s="138">
        <f t="shared" si="4"/>
        <v>0.8636363636</v>
      </c>
    </row>
    <row r="22">
      <c r="A22" s="206">
        <v>18.0</v>
      </c>
      <c r="B22" s="62"/>
      <c r="C22" s="58"/>
      <c r="D22" s="61" t="s">
        <v>15</v>
      </c>
      <c r="E22" s="61" t="s">
        <v>15</v>
      </c>
      <c r="F22" s="207" t="s">
        <v>16</v>
      </c>
      <c r="G22" s="61" t="s">
        <v>15</v>
      </c>
      <c r="H22" s="61" t="s">
        <v>15</v>
      </c>
      <c r="I22" s="59" t="s">
        <v>15</v>
      </c>
      <c r="J22" s="59" t="s">
        <v>15</v>
      </c>
      <c r="K22" s="59" t="s">
        <v>15</v>
      </c>
      <c r="L22" s="59" t="s">
        <v>15</v>
      </c>
      <c r="M22" s="59" t="s">
        <v>15</v>
      </c>
      <c r="N22" s="39" t="s">
        <v>15</v>
      </c>
      <c r="O22" s="59" t="s">
        <v>15</v>
      </c>
      <c r="P22" s="59" t="s">
        <v>15</v>
      </c>
      <c r="Q22" s="39" t="s">
        <v>15</v>
      </c>
      <c r="R22" s="39" t="s">
        <v>15</v>
      </c>
      <c r="S22" s="70" t="s">
        <v>16</v>
      </c>
      <c r="T22" s="39" t="s">
        <v>15</v>
      </c>
      <c r="U22" s="75" t="s">
        <v>15</v>
      </c>
      <c r="V22" s="39" t="s">
        <v>15</v>
      </c>
      <c r="W22" s="39" t="s">
        <v>15</v>
      </c>
      <c r="X22" s="138">
        <f t="shared" si="1"/>
        <v>0.9</v>
      </c>
      <c r="Y22" s="39" t="s">
        <v>15</v>
      </c>
      <c r="Z22" s="39" t="s">
        <v>15</v>
      </c>
      <c r="AA22" s="70" t="s">
        <v>16</v>
      </c>
      <c r="AB22" s="39" t="s">
        <v>15</v>
      </c>
      <c r="AC22" s="39" t="s">
        <v>15</v>
      </c>
      <c r="AD22" s="39" t="s">
        <v>15</v>
      </c>
      <c r="AE22" s="39" t="s">
        <v>15</v>
      </c>
      <c r="AF22" s="39" t="s">
        <v>15</v>
      </c>
      <c r="AG22" s="39" t="s">
        <v>15</v>
      </c>
      <c r="AH22" s="59" t="s">
        <v>15</v>
      </c>
      <c r="AI22" s="59" t="s">
        <v>15</v>
      </c>
      <c r="AJ22" s="39" t="s">
        <v>15</v>
      </c>
      <c r="AK22" s="59" t="s">
        <v>16</v>
      </c>
      <c r="AL22" s="39" t="s">
        <v>15</v>
      </c>
      <c r="AM22" s="39" t="s">
        <v>15</v>
      </c>
      <c r="AN22" s="70" t="s">
        <v>16</v>
      </c>
      <c r="AO22" s="39" t="s">
        <v>15</v>
      </c>
      <c r="AP22" s="39" t="s">
        <v>15</v>
      </c>
      <c r="AQ22" s="59" t="s">
        <v>16</v>
      </c>
      <c r="AR22" s="59" t="s">
        <v>16</v>
      </c>
      <c r="AS22" s="138">
        <f t="shared" si="2"/>
        <v>0.75</v>
      </c>
      <c r="AT22" s="70" t="s">
        <v>16</v>
      </c>
      <c r="AU22" s="59" t="s">
        <v>16</v>
      </c>
      <c r="AV22" s="59" t="s">
        <v>16</v>
      </c>
      <c r="AW22" s="59" t="s">
        <v>15</v>
      </c>
      <c r="AX22" s="39" t="s">
        <v>15</v>
      </c>
      <c r="AY22" s="39" t="s">
        <v>15</v>
      </c>
      <c r="AZ22" s="208" t="s">
        <v>16</v>
      </c>
      <c r="BA22" s="138">
        <f t="shared" si="3"/>
        <v>0.4285714286</v>
      </c>
      <c r="BB22" s="39" t="s">
        <v>15</v>
      </c>
      <c r="BC22" s="39" t="s">
        <v>15</v>
      </c>
      <c r="BD22" s="39" t="s">
        <v>15</v>
      </c>
      <c r="BE22" s="39" t="s">
        <v>15</v>
      </c>
      <c r="BF22" s="59" t="s">
        <v>15</v>
      </c>
      <c r="BG22" s="39" t="s">
        <v>15</v>
      </c>
      <c r="BH22" s="39" t="s">
        <v>15</v>
      </c>
      <c r="BI22" s="39" t="s">
        <v>15</v>
      </c>
      <c r="BJ22" s="73" t="s">
        <v>16</v>
      </c>
      <c r="BK22" s="75" t="s">
        <v>15</v>
      </c>
      <c r="BL22" s="75" t="s">
        <v>15</v>
      </c>
      <c r="BM22" s="208" t="s">
        <v>15</v>
      </c>
      <c r="BN22" s="75" t="s">
        <v>15</v>
      </c>
      <c r="BO22" s="75" t="s">
        <v>15</v>
      </c>
      <c r="BP22" s="75" t="s">
        <v>15</v>
      </c>
      <c r="BQ22" s="75" t="s">
        <v>15</v>
      </c>
      <c r="BR22" s="75" t="s">
        <v>15</v>
      </c>
      <c r="BS22" s="75" t="s">
        <v>15</v>
      </c>
      <c r="BT22" s="75" t="s">
        <v>15</v>
      </c>
      <c r="BU22" s="66" t="s">
        <v>16</v>
      </c>
      <c r="BV22" s="75" t="s">
        <v>15</v>
      </c>
      <c r="BW22" s="210" t="s">
        <v>15</v>
      </c>
      <c r="BX22" s="138">
        <f t="shared" si="4"/>
        <v>0.9090909091</v>
      </c>
    </row>
    <row r="23">
      <c r="A23" s="206">
        <v>19.0</v>
      </c>
      <c r="B23" s="62"/>
      <c r="C23" s="231"/>
      <c r="D23" s="207" t="s">
        <v>16</v>
      </c>
      <c r="E23" s="61" t="s">
        <v>15</v>
      </c>
      <c r="F23" s="61" t="s">
        <v>15</v>
      </c>
      <c r="G23" s="61" t="s">
        <v>15</v>
      </c>
      <c r="H23" s="61" t="s">
        <v>15</v>
      </c>
      <c r="I23" s="59" t="s">
        <v>16</v>
      </c>
      <c r="J23" s="59" t="s">
        <v>15</v>
      </c>
      <c r="K23" s="59" t="s">
        <v>15</v>
      </c>
      <c r="L23" s="59" t="s">
        <v>15</v>
      </c>
      <c r="M23" s="59" t="s">
        <v>15</v>
      </c>
      <c r="N23" s="39" t="s">
        <v>15</v>
      </c>
      <c r="O23" s="59" t="s">
        <v>15</v>
      </c>
      <c r="P23" s="59" t="s">
        <v>15</v>
      </c>
      <c r="Q23" s="39" t="s">
        <v>15</v>
      </c>
      <c r="R23" s="59" t="s">
        <v>16</v>
      </c>
      <c r="S23" s="39" t="s">
        <v>15</v>
      </c>
      <c r="T23" s="39" t="s">
        <v>15</v>
      </c>
      <c r="U23" s="75" t="s">
        <v>15</v>
      </c>
      <c r="V23" s="39" t="s">
        <v>15</v>
      </c>
      <c r="W23" s="39" t="s">
        <v>15</v>
      </c>
      <c r="X23" s="138">
        <f t="shared" si="1"/>
        <v>0.85</v>
      </c>
      <c r="Y23" s="39" t="s">
        <v>15</v>
      </c>
      <c r="Z23" s="39" t="s">
        <v>15</v>
      </c>
      <c r="AA23" s="70" t="s">
        <v>16</v>
      </c>
      <c r="AB23" s="39" t="s">
        <v>15</v>
      </c>
      <c r="AC23" s="39" t="s">
        <v>15</v>
      </c>
      <c r="AD23" s="39" t="s">
        <v>15</v>
      </c>
      <c r="AE23" s="39" t="s">
        <v>15</v>
      </c>
      <c r="AF23" s="39" t="s">
        <v>15</v>
      </c>
      <c r="AG23" s="39" t="s">
        <v>15</v>
      </c>
      <c r="AH23" s="59" t="s">
        <v>15</v>
      </c>
      <c r="AI23" s="59" t="s">
        <v>15</v>
      </c>
      <c r="AJ23" s="39" t="s">
        <v>15</v>
      </c>
      <c r="AK23" s="39" t="s">
        <v>15</v>
      </c>
      <c r="AL23" s="39" t="s">
        <v>15</v>
      </c>
      <c r="AM23" s="39" t="s">
        <v>15</v>
      </c>
      <c r="AN23" s="70" t="s">
        <v>16</v>
      </c>
      <c r="AO23" s="39" t="s">
        <v>15</v>
      </c>
      <c r="AP23" s="39" t="s">
        <v>15</v>
      </c>
      <c r="AQ23" s="59" t="s">
        <v>15</v>
      </c>
      <c r="AR23" s="39" t="s">
        <v>15</v>
      </c>
      <c r="AS23" s="138">
        <f t="shared" si="2"/>
        <v>0.9</v>
      </c>
      <c r="AT23" s="39" t="s">
        <v>15</v>
      </c>
      <c r="AU23" s="59" t="s">
        <v>16</v>
      </c>
      <c r="AV23" s="59" t="s">
        <v>15</v>
      </c>
      <c r="AW23" s="59" t="s">
        <v>15</v>
      </c>
      <c r="AX23" s="39" t="s">
        <v>15</v>
      </c>
      <c r="AY23" s="70" t="s">
        <v>16</v>
      </c>
      <c r="AZ23" s="208" t="s">
        <v>15</v>
      </c>
      <c r="BA23" s="138">
        <f t="shared" si="3"/>
        <v>0.7142857143</v>
      </c>
      <c r="BB23" s="39" t="s">
        <v>15</v>
      </c>
      <c r="BC23" s="39" t="s">
        <v>15</v>
      </c>
      <c r="BD23" s="39" t="s">
        <v>15</v>
      </c>
      <c r="BE23" s="39" t="s">
        <v>15</v>
      </c>
      <c r="BF23" s="59" t="s">
        <v>15</v>
      </c>
      <c r="BG23" s="39" t="s">
        <v>15</v>
      </c>
      <c r="BH23" s="39" t="s">
        <v>15</v>
      </c>
      <c r="BI23" s="39" t="s">
        <v>15</v>
      </c>
      <c r="BJ23" s="73" t="s">
        <v>16</v>
      </c>
      <c r="BK23" s="75" t="s">
        <v>15</v>
      </c>
      <c r="BL23" s="75" t="s">
        <v>15</v>
      </c>
      <c r="BM23" s="208" t="s">
        <v>15</v>
      </c>
      <c r="BN23" s="75" t="s">
        <v>15</v>
      </c>
      <c r="BO23" s="75" t="s">
        <v>15</v>
      </c>
      <c r="BP23" s="75" t="s">
        <v>15</v>
      </c>
      <c r="BQ23" s="75" t="s">
        <v>15</v>
      </c>
      <c r="BR23" s="75" t="s">
        <v>15</v>
      </c>
      <c r="BS23" s="75" t="s">
        <v>15</v>
      </c>
      <c r="BT23" s="75" t="s">
        <v>15</v>
      </c>
      <c r="BU23" s="66" t="s">
        <v>16</v>
      </c>
      <c r="BV23" s="75" t="s">
        <v>15</v>
      </c>
      <c r="BW23" s="212" t="s">
        <v>16</v>
      </c>
      <c r="BX23" s="138">
        <f t="shared" si="4"/>
        <v>0.8636363636</v>
      </c>
    </row>
    <row r="24">
      <c r="A24" s="206">
        <v>20.0</v>
      </c>
      <c r="B24" s="232"/>
      <c r="C24" s="153"/>
      <c r="D24" s="207" t="s">
        <v>16</v>
      </c>
      <c r="E24" s="61" t="s">
        <v>15</v>
      </c>
      <c r="F24" s="207" t="s">
        <v>16</v>
      </c>
      <c r="G24" s="59" t="s">
        <v>16</v>
      </c>
      <c r="H24" s="59" t="s">
        <v>16</v>
      </c>
      <c r="I24" s="59" t="s">
        <v>15</v>
      </c>
      <c r="J24" s="59" t="s">
        <v>15</v>
      </c>
      <c r="K24" s="59" t="s">
        <v>15</v>
      </c>
      <c r="L24" s="59" t="s">
        <v>15</v>
      </c>
      <c r="M24" s="59" t="s">
        <v>15</v>
      </c>
      <c r="N24" s="39" t="s">
        <v>15</v>
      </c>
      <c r="O24" s="59" t="s">
        <v>15</v>
      </c>
      <c r="P24" s="59" t="s">
        <v>15</v>
      </c>
      <c r="Q24" s="70" t="s">
        <v>16</v>
      </c>
      <c r="R24" s="39" t="s">
        <v>15</v>
      </c>
      <c r="S24" s="39" t="s">
        <v>15</v>
      </c>
      <c r="T24" s="39" t="s">
        <v>15</v>
      </c>
      <c r="U24" s="73" t="s">
        <v>16</v>
      </c>
      <c r="V24" s="59" t="s">
        <v>16</v>
      </c>
      <c r="W24" s="39" t="s">
        <v>15</v>
      </c>
      <c r="X24" s="138">
        <f t="shared" si="1"/>
        <v>0.65</v>
      </c>
      <c r="Y24" s="39" t="s">
        <v>15</v>
      </c>
      <c r="Z24" s="70" t="s">
        <v>16</v>
      </c>
      <c r="AA24" s="39" t="s">
        <v>15</v>
      </c>
      <c r="AB24" s="70" t="s">
        <v>16</v>
      </c>
      <c r="AC24" s="39" t="s">
        <v>15</v>
      </c>
      <c r="AD24" s="39" t="s">
        <v>15</v>
      </c>
      <c r="AE24" s="39" t="s">
        <v>15</v>
      </c>
      <c r="AF24" s="39" t="s">
        <v>15</v>
      </c>
      <c r="AG24" s="39" t="s">
        <v>15</v>
      </c>
      <c r="AH24" s="59" t="s">
        <v>15</v>
      </c>
      <c r="AI24" s="59" t="s">
        <v>15</v>
      </c>
      <c r="AJ24" s="70" t="s">
        <v>16</v>
      </c>
      <c r="AK24" s="39" t="s">
        <v>15</v>
      </c>
      <c r="AL24" s="39" t="s">
        <v>15</v>
      </c>
      <c r="AM24" s="39" t="s">
        <v>15</v>
      </c>
      <c r="AN24" s="39" t="s">
        <v>15</v>
      </c>
      <c r="AO24" s="39" t="s">
        <v>15</v>
      </c>
      <c r="AP24" s="39" t="s">
        <v>15</v>
      </c>
      <c r="AQ24" s="59" t="s">
        <v>16</v>
      </c>
      <c r="AR24" s="39" t="s">
        <v>15</v>
      </c>
      <c r="AS24" s="138">
        <f t="shared" si="2"/>
        <v>0.8</v>
      </c>
      <c r="AT24" s="39" t="s">
        <v>15</v>
      </c>
      <c r="AU24" s="59" t="s">
        <v>16</v>
      </c>
      <c r="AV24" s="59" t="s">
        <v>15</v>
      </c>
      <c r="AW24" s="59" t="s">
        <v>15</v>
      </c>
      <c r="AX24" s="39" t="s">
        <v>15</v>
      </c>
      <c r="AY24" s="39" t="s">
        <v>15</v>
      </c>
      <c r="AZ24" s="208" t="s">
        <v>15</v>
      </c>
      <c r="BA24" s="138">
        <f t="shared" si="3"/>
        <v>0.8571428571</v>
      </c>
      <c r="BB24" s="39" t="s">
        <v>15</v>
      </c>
      <c r="BC24" s="70" t="s">
        <v>16</v>
      </c>
      <c r="BD24" s="39" t="s">
        <v>15</v>
      </c>
      <c r="BE24" s="39" t="s">
        <v>15</v>
      </c>
      <c r="BF24" s="59" t="s">
        <v>15</v>
      </c>
      <c r="BG24" s="39" t="s">
        <v>16</v>
      </c>
      <c r="BH24" s="39" t="s">
        <v>15</v>
      </c>
      <c r="BI24" s="39" t="s">
        <v>15</v>
      </c>
      <c r="BJ24" s="73" t="s">
        <v>16</v>
      </c>
      <c r="BK24" s="218" t="s">
        <v>16</v>
      </c>
      <c r="BL24" s="73" t="s">
        <v>16</v>
      </c>
      <c r="BM24" s="208" t="s">
        <v>15</v>
      </c>
      <c r="BN24" s="75" t="s">
        <v>15</v>
      </c>
      <c r="BO24" s="75" t="s">
        <v>15</v>
      </c>
      <c r="BP24" s="73" t="s">
        <v>16</v>
      </c>
      <c r="BQ24" s="75" t="s">
        <v>15</v>
      </c>
      <c r="BR24" s="75" t="s">
        <v>15</v>
      </c>
      <c r="BS24" s="75" t="s">
        <v>15</v>
      </c>
      <c r="BT24" s="75" t="s">
        <v>15</v>
      </c>
      <c r="BU24" s="75" t="s">
        <v>15</v>
      </c>
      <c r="BV24" s="75" t="s">
        <v>15</v>
      </c>
      <c r="BW24" s="212" t="s">
        <v>16</v>
      </c>
      <c r="BX24" s="138">
        <f t="shared" si="4"/>
        <v>0.6818181818</v>
      </c>
    </row>
    <row r="25">
      <c r="A25" s="206">
        <v>21.0</v>
      </c>
      <c r="B25" s="234"/>
      <c r="C25" s="100" t="s">
        <v>19</v>
      </c>
      <c r="D25" s="218" t="s">
        <v>20</v>
      </c>
      <c r="E25" s="218" t="s">
        <v>20</v>
      </c>
      <c r="F25" s="218" t="s">
        <v>20</v>
      </c>
      <c r="G25" s="218" t="s">
        <v>20</v>
      </c>
      <c r="H25" s="218" t="s">
        <v>20</v>
      </c>
      <c r="I25" s="218" t="s">
        <v>20</v>
      </c>
      <c r="J25" s="218" t="s">
        <v>20</v>
      </c>
      <c r="K25" s="218" t="s">
        <v>20</v>
      </c>
      <c r="L25" s="218" t="s">
        <v>20</v>
      </c>
      <c r="M25" s="218" t="s">
        <v>20</v>
      </c>
      <c r="N25" s="218" t="s">
        <v>20</v>
      </c>
      <c r="O25" s="218" t="s">
        <v>20</v>
      </c>
      <c r="P25" s="218" t="s">
        <v>20</v>
      </c>
      <c r="Q25" s="218" t="s">
        <v>20</v>
      </c>
      <c r="R25" s="218" t="s">
        <v>20</v>
      </c>
      <c r="S25" s="218" t="s">
        <v>20</v>
      </c>
      <c r="T25" s="218" t="s">
        <v>20</v>
      </c>
      <c r="U25" s="218" t="s">
        <v>20</v>
      </c>
      <c r="V25" s="218" t="s">
        <v>20</v>
      </c>
      <c r="W25" s="218" t="s">
        <v>20</v>
      </c>
      <c r="X25" s="40" t="str">
        <f t="shared" si="1"/>
        <v>0,00%</v>
      </c>
      <c r="Y25" s="218" t="s">
        <v>20</v>
      </c>
      <c r="Z25" s="218" t="s">
        <v>20</v>
      </c>
      <c r="AA25" s="218" t="s">
        <v>20</v>
      </c>
      <c r="AB25" s="218" t="s">
        <v>20</v>
      </c>
      <c r="AC25" s="218" t="s">
        <v>20</v>
      </c>
      <c r="AD25" s="218" t="s">
        <v>20</v>
      </c>
      <c r="AE25" s="218" t="s">
        <v>20</v>
      </c>
      <c r="AF25" s="218" t="s">
        <v>20</v>
      </c>
      <c r="AG25" s="218" t="s">
        <v>20</v>
      </c>
      <c r="AH25" s="218" t="s">
        <v>20</v>
      </c>
      <c r="AI25" s="218" t="s">
        <v>20</v>
      </c>
      <c r="AJ25" s="218" t="s">
        <v>20</v>
      </c>
      <c r="AK25" s="218" t="s">
        <v>20</v>
      </c>
      <c r="AL25" s="218" t="s">
        <v>20</v>
      </c>
      <c r="AM25" s="218" t="s">
        <v>20</v>
      </c>
      <c r="AN25" s="218" t="s">
        <v>20</v>
      </c>
      <c r="AO25" s="218" t="s">
        <v>20</v>
      </c>
      <c r="AP25" s="218" t="s">
        <v>20</v>
      </c>
      <c r="AQ25" s="218" t="s">
        <v>20</v>
      </c>
      <c r="AR25" s="218" t="s">
        <v>20</v>
      </c>
      <c r="AS25" s="40" t="str">
        <f t="shared" si="2"/>
        <v>0,00%</v>
      </c>
      <c r="AT25" s="218" t="s">
        <v>20</v>
      </c>
      <c r="AU25" s="218" t="s">
        <v>20</v>
      </c>
      <c r="AV25" s="218" t="s">
        <v>20</v>
      </c>
      <c r="AW25" s="218" t="s">
        <v>20</v>
      </c>
      <c r="AX25" s="218" t="s">
        <v>20</v>
      </c>
      <c r="AY25" s="218" t="s">
        <v>20</v>
      </c>
      <c r="AZ25" s="218" t="s">
        <v>20</v>
      </c>
      <c r="BA25" s="235" t="str">
        <f t="shared" si="3"/>
        <v>0,00%</v>
      </c>
      <c r="BB25" s="218" t="s">
        <v>20</v>
      </c>
      <c r="BC25" s="218" t="s">
        <v>20</v>
      </c>
      <c r="BD25" s="218" t="s">
        <v>20</v>
      </c>
      <c r="BE25" s="218" t="s">
        <v>20</v>
      </c>
      <c r="BF25" s="218" t="s">
        <v>20</v>
      </c>
      <c r="BG25" s="218" t="s">
        <v>20</v>
      </c>
      <c r="BH25" s="218" t="s">
        <v>20</v>
      </c>
      <c r="BI25" s="218" t="s">
        <v>20</v>
      </c>
      <c r="BJ25" s="218" t="s">
        <v>20</v>
      </c>
      <c r="BK25" s="218" t="s">
        <v>20</v>
      </c>
      <c r="BL25" s="218" t="s">
        <v>20</v>
      </c>
      <c r="BM25" s="236" t="s">
        <v>20</v>
      </c>
      <c r="BN25" s="236" t="s">
        <v>20</v>
      </c>
      <c r="BO25" s="236" t="s">
        <v>20</v>
      </c>
      <c r="BP25" s="236" t="s">
        <v>20</v>
      </c>
      <c r="BQ25" s="236" t="s">
        <v>20</v>
      </c>
      <c r="BR25" s="236" t="s">
        <v>20</v>
      </c>
      <c r="BS25" s="236" t="s">
        <v>20</v>
      </c>
      <c r="BT25" s="236" t="s">
        <v>20</v>
      </c>
      <c r="BU25" s="222" t="s">
        <v>18</v>
      </c>
      <c r="BV25" s="222" t="s">
        <v>18</v>
      </c>
      <c r="BW25" s="223" t="s">
        <v>18</v>
      </c>
      <c r="BX25" s="40" t="str">
        <f t="shared" si="4"/>
        <v>0,00%</v>
      </c>
    </row>
    <row r="26">
      <c r="A26" s="206">
        <v>22.0</v>
      </c>
      <c r="B26" s="46"/>
      <c r="C26" s="58"/>
      <c r="D26" s="61" t="s">
        <v>15</v>
      </c>
      <c r="E26" s="61" t="s">
        <v>15</v>
      </c>
      <c r="F26" s="207" t="s">
        <v>16</v>
      </c>
      <c r="G26" s="61" t="s">
        <v>15</v>
      </c>
      <c r="H26" s="61" t="s">
        <v>15</v>
      </c>
      <c r="I26" s="59" t="s">
        <v>15</v>
      </c>
      <c r="J26" s="59" t="s">
        <v>15</v>
      </c>
      <c r="K26" s="59" t="s">
        <v>15</v>
      </c>
      <c r="L26" s="59" t="s">
        <v>15</v>
      </c>
      <c r="M26" s="59" t="s">
        <v>15</v>
      </c>
      <c r="N26" s="39" t="s">
        <v>15</v>
      </c>
      <c r="O26" s="59" t="s">
        <v>15</v>
      </c>
      <c r="P26" s="59" t="s">
        <v>15</v>
      </c>
      <c r="Q26" s="70" t="s">
        <v>16</v>
      </c>
      <c r="R26" s="39" t="s">
        <v>15</v>
      </c>
      <c r="S26" s="39" t="s">
        <v>15</v>
      </c>
      <c r="T26" s="39" t="s">
        <v>15</v>
      </c>
      <c r="U26" s="75" t="s">
        <v>15</v>
      </c>
      <c r="V26" s="39" t="s">
        <v>15</v>
      </c>
      <c r="W26" s="59" t="s">
        <v>16</v>
      </c>
      <c r="X26" s="138">
        <f t="shared" si="1"/>
        <v>0.85</v>
      </c>
      <c r="Y26" s="39" t="s">
        <v>15</v>
      </c>
      <c r="Z26" s="39" t="s">
        <v>15</v>
      </c>
      <c r="AA26" s="70" t="s">
        <v>16</v>
      </c>
      <c r="AB26" s="39" t="s">
        <v>15</v>
      </c>
      <c r="AC26" s="39" t="s">
        <v>15</v>
      </c>
      <c r="AD26" s="39" t="s">
        <v>15</v>
      </c>
      <c r="AE26" s="39" t="s">
        <v>15</v>
      </c>
      <c r="AF26" s="59" t="s">
        <v>15</v>
      </c>
      <c r="AG26" s="39" t="s">
        <v>15</v>
      </c>
      <c r="AH26" s="59" t="s">
        <v>15</v>
      </c>
      <c r="AI26" s="59" t="s">
        <v>15</v>
      </c>
      <c r="AJ26" s="39" t="s">
        <v>15</v>
      </c>
      <c r="AK26" s="39" t="s">
        <v>15</v>
      </c>
      <c r="AL26" s="39" t="s">
        <v>15</v>
      </c>
      <c r="AM26" s="59" t="s">
        <v>16</v>
      </c>
      <c r="AN26" s="70" t="s">
        <v>16</v>
      </c>
      <c r="AO26" s="70" t="s">
        <v>16</v>
      </c>
      <c r="AP26" s="70" t="s">
        <v>16</v>
      </c>
      <c r="AQ26" s="59" t="s">
        <v>15</v>
      </c>
      <c r="AR26" s="39" t="s">
        <v>15</v>
      </c>
      <c r="AS26" s="138">
        <f t="shared" si="2"/>
        <v>0.75</v>
      </c>
      <c r="AT26" s="39" t="s">
        <v>15</v>
      </c>
      <c r="AU26" s="59" t="s">
        <v>15</v>
      </c>
      <c r="AV26" s="59" t="s">
        <v>15</v>
      </c>
      <c r="AW26" s="59" t="s">
        <v>15</v>
      </c>
      <c r="AX26" s="39" t="s">
        <v>15</v>
      </c>
      <c r="AY26" s="39" t="s">
        <v>15</v>
      </c>
      <c r="AZ26" s="208" t="s">
        <v>15</v>
      </c>
      <c r="BA26" s="138">
        <f t="shared" si="3"/>
        <v>1</v>
      </c>
      <c r="BB26" s="39" t="s">
        <v>15</v>
      </c>
      <c r="BC26" s="70" t="s">
        <v>16</v>
      </c>
      <c r="BD26" s="70" t="s">
        <v>16</v>
      </c>
      <c r="BE26" s="59" t="s">
        <v>16</v>
      </c>
      <c r="BF26" s="59" t="s">
        <v>16</v>
      </c>
      <c r="BG26" s="59" t="s">
        <v>16</v>
      </c>
      <c r="BH26" s="59" t="s">
        <v>16</v>
      </c>
      <c r="BI26" s="59" t="s">
        <v>16</v>
      </c>
      <c r="BJ26" s="73" t="s">
        <v>16</v>
      </c>
      <c r="BK26" s="75" t="s">
        <v>15</v>
      </c>
      <c r="BL26" s="75" t="s">
        <v>15</v>
      </c>
      <c r="BM26" s="237" t="s">
        <v>16</v>
      </c>
      <c r="BN26" s="75" t="s">
        <v>15</v>
      </c>
      <c r="BO26" s="75" t="s">
        <v>15</v>
      </c>
      <c r="BP26" s="75" t="s">
        <v>15</v>
      </c>
      <c r="BQ26" s="75" t="s">
        <v>15</v>
      </c>
      <c r="BR26" s="75" t="s">
        <v>15</v>
      </c>
      <c r="BS26" s="75" t="s">
        <v>15</v>
      </c>
      <c r="BT26" s="75" t="s">
        <v>15</v>
      </c>
      <c r="BU26" s="75" t="s">
        <v>15</v>
      </c>
      <c r="BV26" s="75" t="s">
        <v>15</v>
      </c>
      <c r="BW26" s="210" t="s">
        <v>15</v>
      </c>
      <c r="BX26" s="138">
        <f t="shared" si="4"/>
        <v>0.5909090909</v>
      </c>
    </row>
    <row r="27">
      <c r="A27" s="206">
        <v>23.0</v>
      </c>
      <c r="B27" s="121"/>
      <c r="C27" s="26"/>
      <c r="D27" s="61" t="s">
        <v>15</v>
      </c>
      <c r="E27" s="61" t="s">
        <v>15</v>
      </c>
      <c r="F27" s="207" t="s">
        <v>16</v>
      </c>
      <c r="G27" s="61" t="s">
        <v>15</v>
      </c>
      <c r="H27" s="61" t="s">
        <v>15</v>
      </c>
      <c r="I27" s="59" t="s">
        <v>15</v>
      </c>
      <c r="J27" s="59" t="s">
        <v>15</v>
      </c>
      <c r="K27" s="59" t="s">
        <v>15</v>
      </c>
      <c r="L27" s="59" t="s">
        <v>15</v>
      </c>
      <c r="M27" s="59" t="s">
        <v>15</v>
      </c>
      <c r="N27" s="39" t="s">
        <v>15</v>
      </c>
      <c r="O27" s="59" t="s">
        <v>15</v>
      </c>
      <c r="P27" s="59" t="s">
        <v>15</v>
      </c>
      <c r="Q27" s="39" t="s">
        <v>15</v>
      </c>
      <c r="R27" s="39" t="s">
        <v>15</v>
      </c>
      <c r="S27" s="70" t="s">
        <v>16</v>
      </c>
      <c r="T27" s="39" t="s">
        <v>15</v>
      </c>
      <c r="U27" s="75" t="s">
        <v>15</v>
      </c>
      <c r="V27" s="39" t="s">
        <v>15</v>
      </c>
      <c r="W27" s="39" t="s">
        <v>15</v>
      </c>
      <c r="X27" s="138">
        <f t="shared" si="1"/>
        <v>0.9</v>
      </c>
      <c r="Y27" s="39" t="s">
        <v>15</v>
      </c>
      <c r="Z27" s="39" t="s">
        <v>15</v>
      </c>
      <c r="AA27" s="70" t="s">
        <v>16</v>
      </c>
      <c r="AB27" s="39" t="s">
        <v>15</v>
      </c>
      <c r="AC27" s="39" t="s">
        <v>15</v>
      </c>
      <c r="AD27" s="39" t="s">
        <v>15</v>
      </c>
      <c r="AE27" s="59" t="s">
        <v>16</v>
      </c>
      <c r="AF27" s="39" t="s">
        <v>15</v>
      </c>
      <c r="AG27" s="39" t="s">
        <v>15</v>
      </c>
      <c r="AH27" s="59" t="s">
        <v>15</v>
      </c>
      <c r="AI27" s="59" t="s">
        <v>16</v>
      </c>
      <c r="AJ27" s="70" t="s">
        <v>16</v>
      </c>
      <c r="AK27" s="59" t="s">
        <v>16</v>
      </c>
      <c r="AL27" s="39" t="s">
        <v>15</v>
      </c>
      <c r="AM27" s="39" t="s">
        <v>15</v>
      </c>
      <c r="AN27" s="70" t="s">
        <v>16</v>
      </c>
      <c r="AO27" s="39" t="s">
        <v>15</v>
      </c>
      <c r="AP27" s="39" t="s">
        <v>15</v>
      </c>
      <c r="AQ27" s="59" t="s">
        <v>16</v>
      </c>
      <c r="AR27" s="39" t="s">
        <v>15</v>
      </c>
      <c r="AS27" s="138">
        <f t="shared" si="2"/>
        <v>0.65</v>
      </c>
      <c r="AT27" s="70" t="s">
        <v>16</v>
      </c>
      <c r="AU27" s="59" t="s">
        <v>16</v>
      </c>
      <c r="AV27" s="59" t="s">
        <v>15</v>
      </c>
      <c r="AW27" s="59" t="s">
        <v>15</v>
      </c>
      <c r="AX27" s="39" t="s">
        <v>15</v>
      </c>
      <c r="AY27" s="39" t="s">
        <v>15</v>
      </c>
      <c r="AZ27" s="208" t="s">
        <v>16</v>
      </c>
      <c r="BA27" s="138">
        <f t="shared" si="3"/>
        <v>0.5714285714</v>
      </c>
      <c r="BB27" s="39" t="s">
        <v>15</v>
      </c>
      <c r="BC27" s="39" t="s">
        <v>15</v>
      </c>
      <c r="BD27" s="39" t="s">
        <v>15</v>
      </c>
      <c r="BE27" s="39" t="s">
        <v>15</v>
      </c>
      <c r="BF27" s="59" t="s">
        <v>15</v>
      </c>
      <c r="BG27" s="39" t="s">
        <v>15</v>
      </c>
      <c r="BH27" s="39" t="s">
        <v>15</v>
      </c>
      <c r="BI27" s="39" t="s">
        <v>15</v>
      </c>
      <c r="BJ27" s="73" t="s">
        <v>16</v>
      </c>
      <c r="BK27" s="70" t="s">
        <v>16</v>
      </c>
      <c r="BL27" s="39" t="s">
        <v>15</v>
      </c>
      <c r="BM27" s="208" t="s">
        <v>15</v>
      </c>
      <c r="BN27" s="39" t="s">
        <v>15</v>
      </c>
      <c r="BO27" s="39" t="s">
        <v>15</v>
      </c>
      <c r="BP27" s="39" t="s">
        <v>15</v>
      </c>
      <c r="BQ27" s="75" t="s">
        <v>15</v>
      </c>
      <c r="BR27" s="75" t="s">
        <v>15</v>
      </c>
      <c r="BS27" s="75" t="s">
        <v>15</v>
      </c>
      <c r="BT27" s="75" t="s">
        <v>15</v>
      </c>
      <c r="BU27" s="66" t="s">
        <v>16</v>
      </c>
      <c r="BV27" s="75" t="s">
        <v>15</v>
      </c>
      <c r="BW27" s="215" t="s">
        <v>15</v>
      </c>
      <c r="BX27" s="138">
        <f t="shared" si="4"/>
        <v>0.8636363636</v>
      </c>
    </row>
    <row r="28">
      <c r="A28" s="206">
        <v>24.0</v>
      </c>
      <c r="B28" s="226"/>
      <c r="C28" s="245"/>
      <c r="D28" s="61" t="s">
        <v>15</v>
      </c>
      <c r="E28" s="61" t="s">
        <v>15</v>
      </c>
      <c r="F28" s="207" t="s">
        <v>16</v>
      </c>
      <c r="G28" s="61" t="s">
        <v>15</v>
      </c>
      <c r="H28" s="61" t="s">
        <v>15</v>
      </c>
      <c r="I28" s="59" t="s">
        <v>16</v>
      </c>
      <c r="J28" s="59" t="s">
        <v>15</v>
      </c>
      <c r="K28" s="59" t="s">
        <v>15</v>
      </c>
      <c r="L28" s="59" t="s">
        <v>15</v>
      </c>
      <c r="M28" s="59" t="s">
        <v>15</v>
      </c>
      <c r="N28" s="39" t="s">
        <v>15</v>
      </c>
      <c r="O28" s="59" t="s">
        <v>15</v>
      </c>
      <c r="P28" s="59" t="s">
        <v>15</v>
      </c>
      <c r="Q28" s="75" t="s">
        <v>15</v>
      </c>
      <c r="R28" s="75" t="s">
        <v>15</v>
      </c>
      <c r="S28" s="75" t="s">
        <v>15</v>
      </c>
      <c r="T28" s="39" t="s">
        <v>15</v>
      </c>
      <c r="U28" s="75" t="s">
        <v>15</v>
      </c>
      <c r="V28" s="75" t="s">
        <v>15</v>
      </c>
      <c r="W28" s="75" t="s">
        <v>15</v>
      </c>
      <c r="X28" s="138">
        <f t="shared" si="1"/>
        <v>0.9</v>
      </c>
      <c r="Y28" s="39" t="s">
        <v>15</v>
      </c>
      <c r="Z28" s="39" t="s">
        <v>15</v>
      </c>
      <c r="AA28" s="39" t="s">
        <v>15</v>
      </c>
      <c r="AB28" s="39" t="s">
        <v>15</v>
      </c>
      <c r="AC28" s="39" t="s">
        <v>15</v>
      </c>
      <c r="AD28" s="39" t="s">
        <v>15</v>
      </c>
      <c r="AE28" s="39" t="s">
        <v>15</v>
      </c>
      <c r="AF28" s="39" t="s">
        <v>15</v>
      </c>
      <c r="AG28" s="70" t="s">
        <v>16</v>
      </c>
      <c r="AH28" s="59" t="s">
        <v>15</v>
      </c>
      <c r="AI28" s="59" t="s">
        <v>15</v>
      </c>
      <c r="AJ28" s="39" t="s">
        <v>15</v>
      </c>
      <c r="AK28" s="59" t="s">
        <v>16</v>
      </c>
      <c r="AL28" s="39" t="s">
        <v>15</v>
      </c>
      <c r="AM28" s="39" t="s">
        <v>15</v>
      </c>
      <c r="AN28" s="70" t="s">
        <v>16</v>
      </c>
      <c r="AO28" s="39" t="s">
        <v>15</v>
      </c>
      <c r="AP28" s="39" t="s">
        <v>15</v>
      </c>
      <c r="AQ28" s="59" t="s">
        <v>16</v>
      </c>
      <c r="AR28" s="39" t="s">
        <v>15</v>
      </c>
      <c r="AS28" s="138">
        <f t="shared" si="2"/>
        <v>0.8</v>
      </c>
      <c r="AT28" s="39" t="s">
        <v>15</v>
      </c>
      <c r="AU28" s="59" t="s">
        <v>16</v>
      </c>
      <c r="AV28" s="59" t="s">
        <v>15</v>
      </c>
      <c r="AW28" s="59" t="s">
        <v>16</v>
      </c>
      <c r="AX28" s="70" t="s">
        <v>16</v>
      </c>
      <c r="AY28" s="39" t="s">
        <v>15</v>
      </c>
      <c r="AZ28" s="208" t="s">
        <v>15</v>
      </c>
      <c r="BA28" s="138">
        <f t="shared" si="3"/>
        <v>0.5714285714</v>
      </c>
      <c r="BB28" s="39" t="s">
        <v>15</v>
      </c>
      <c r="BC28" s="39" t="s">
        <v>15</v>
      </c>
      <c r="BD28" s="70" t="s">
        <v>16</v>
      </c>
      <c r="BE28" s="39" t="s">
        <v>15</v>
      </c>
      <c r="BF28" s="59" t="s">
        <v>15</v>
      </c>
      <c r="BG28" s="39" t="s">
        <v>15</v>
      </c>
      <c r="BH28" s="39" t="s">
        <v>15</v>
      </c>
      <c r="BI28" s="39" t="s">
        <v>15</v>
      </c>
      <c r="BJ28" s="75" t="s">
        <v>15</v>
      </c>
      <c r="BK28" s="75" t="s">
        <v>15</v>
      </c>
      <c r="BL28" s="75" t="s">
        <v>15</v>
      </c>
      <c r="BM28" s="208" t="s">
        <v>15</v>
      </c>
      <c r="BN28" s="75" t="s">
        <v>15</v>
      </c>
      <c r="BO28" s="75" t="s">
        <v>15</v>
      </c>
      <c r="BP28" s="75" t="s">
        <v>15</v>
      </c>
      <c r="BQ28" s="75" t="s">
        <v>15</v>
      </c>
      <c r="BR28" s="75" t="s">
        <v>15</v>
      </c>
      <c r="BS28" s="75" t="s">
        <v>15</v>
      </c>
      <c r="BT28" s="75" t="s">
        <v>15</v>
      </c>
      <c r="BU28" s="66" t="s">
        <v>16</v>
      </c>
      <c r="BV28" s="75" t="s">
        <v>15</v>
      </c>
      <c r="BW28" s="212" t="s">
        <v>16</v>
      </c>
      <c r="BX28" s="138">
        <f t="shared" si="4"/>
        <v>0.8636363636</v>
      </c>
    </row>
    <row r="29">
      <c r="A29" s="206">
        <v>25.0</v>
      </c>
      <c r="B29" s="121"/>
      <c r="C29" s="26"/>
      <c r="D29" s="61" t="s">
        <v>15</v>
      </c>
      <c r="E29" s="61" t="s">
        <v>15</v>
      </c>
      <c r="F29" s="207" t="s">
        <v>16</v>
      </c>
      <c r="G29" s="61" t="s">
        <v>15</v>
      </c>
      <c r="H29" s="61" t="s">
        <v>15</v>
      </c>
      <c r="I29" s="59" t="s">
        <v>16</v>
      </c>
      <c r="J29" s="59" t="s">
        <v>15</v>
      </c>
      <c r="K29" s="59" t="s">
        <v>15</v>
      </c>
      <c r="L29" s="59" t="s">
        <v>15</v>
      </c>
      <c r="M29" s="59" t="s">
        <v>15</v>
      </c>
      <c r="N29" s="39" t="s">
        <v>15</v>
      </c>
      <c r="O29" s="59" t="s">
        <v>15</v>
      </c>
      <c r="P29" s="59" t="s">
        <v>15</v>
      </c>
      <c r="Q29" s="70" t="s">
        <v>16</v>
      </c>
      <c r="R29" s="59" t="s">
        <v>16</v>
      </c>
      <c r="S29" s="75" t="s">
        <v>15</v>
      </c>
      <c r="T29" s="39" t="s">
        <v>15</v>
      </c>
      <c r="U29" s="75" t="s">
        <v>15</v>
      </c>
      <c r="V29" s="75" t="s">
        <v>15</v>
      </c>
      <c r="W29" s="75" t="s">
        <v>15</v>
      </c>
      <c r="X29" s="138">
        <f t="shared" si="1"/>
        <v>0.8</v>
      </c>
      <c r="Y29" s="59" t="s">
        <v>16</v>
      </c>
      <c r="Z29" s="39" t="s">
        <v>15</v>
      </c>
      <c r="AA29" s="70" t="s">
        <v>16</v>
      </c>
      <c r="AB29" s="39" t="s">
        <v>15</v>
      </c>
      <c r="AC29" s="39" t="s">
        <v>15</v>
      </c>
      <c r="AD29" s="39" t="s">
        <v>15</v>
      </c>
      <c r="AE29" s="39" t="s">
        <v>15</v>
      </c>
      <c r="AF29" s="39" t="s">
        <v>15</v>
      </c>
      <c r="AG29" s="39" t="s">
        <v>15</v>
      </c>
      <c r="AH29" s="59" t="s">
        <v>15</v>
      </c>
      <c r="AI29" s="59" t="s">
        <v>15</v>
      </c>
      <c r="AJ29" s="39" t="s">
        <v>15</v>
      </c>
      <c r="AK29" s="39" t="s">
        <v>15</v>
      </c>
      <c r="AL29" s="39" t="s">
        <v>15</v>
      </c>
      <c r="AM29" s="39" t="s">
        <v>15</v>
      </c>
      <c r="AN29" s="70" t="s">
        <v>16</v>
      </c>
      <c r="AO29" s="39" t="s">
        <v>15</v>
      </c>
      <c r="AP29" s="39" t="s">
        <v>15</v>
      </c>
      <c r="AQ29" s="59" t="s">
        <v>15</v>
      </c>
      <c r="AR29" s="39" t="s">
        <v>15</v>
      </c>
      <c r="AS29" s="138">
        <f t="shared" si="2"/>
        <v>0.85</v>
      </c>
      <c r="AT29" s="70" t="s">
        <v>16</v>
      </c>
      <c r="AU29" s="59" t="s">
        <v>16</v>
      </c>
      <c r="AV29" s="59" t="s">
        <v>15</v>
      </c>
      <c r="AW29" s="59" t="s">
        <v>15</v>
      </c>
      <c r="AX29" s="39" t="s">
        <v>15</v>
      </c>
      <c r="AY29" s="39" t="s">
        <v>15</v>
      </c>
      <c r="AZ29" s="208" t="s">
        <v>15</v>
      </c>
      <c r="BA29" s="138">
        <f t="shared" si="3"/>
        <v>0.7142857143</v>
      </c>
      <c r="BB29" s="39" t="s">
        <v>15</v>
      </c>
      <c r="BC29" s="39" t="s">
        <v>15</v>
      </c>
      <c r="BD29" s="39" t="s">
        <v>15</v>
      </c>
      <c r="BE29" s="39" t="s">
        <v>15</v>
      </c>
      <c r="BF29" s="59" t="s">
        <v>15</v>
      </c>
      <c r="BG29" s="39" t="s">
        <v>15</v>
      </c>
      <c r="BH29" s="39" t="s">
        <v>16</v>
      </c>
      <c r="BI29" s="39" t="s">
        <v>15</v>
      </c>
      <c r="BJ29" s="75" t="s">
        <v>15</v>
      </c>
      <c r="BK29" s="75" t="s">
        <v>15</v>
      </c>
      <c r="BL29" s="75" t="s">
        <v>15</v>
      </c>
      <c r="BM29" s="208" t="s">
        <v>16</v>
      </c>
      <c r="BN29" s="75" t="s">
        <v>15</v>
      </c>
      <c r="BO29" s="75" t="s">
        <v>15</v>
      </c>
      <c r="BP29" s="73" t="s">
        <v>16</v>
      </c>
      <c r="BQ29" s="75" t="s">
        <v>15</v>
      </c>
      <c r="BR29" s="75" t="s">
        <v>15</v>
      </c>
      <c r="BS29" s="75" t="s">
        <v>15</v>
      </c>
      <c r="BT29" s="75" t="s">
        <v>15</v>
      </c>
      <c r="BU29" s="66" t="s">
        <v>16</v>
      </c>
      <c r="BV29" s="75" t="s">
        <v>15</v>
      </c>
      <c r="BW29" s="212" t="s">
        <v>16</v>
      </c>
      <c r="BX29" s="138">
        <f t="shared" si="4"/>
        <v>0.7727272727</v>
      </c>
    </row>
    <row r="30">
      <c r="A30" s="206">
        <v>26.0</v>
      </c>
      <c r="B30" s="246"/>
      <c r="C30" s="245"/>
      <c r="D30" s="207" t="s">
        <v>16</v>
      </c>
      <c r="E30" s="61" t="s">
        <v>15</v>
      </c>
      <c r="F30" s="61" t="s">
        <v>15</v>
      </c>
      <c r="G30" s="61" t="s">
        <v>15</v>
      </c>
      <c r="H30" s="61" t="s">
        <v>15</v>
      </c>
      <c r="I30" s="59" t="s">
        <v>15</v>
      </c>
      <c r="J30" s="59" t="s">
        <v>15</v>
      </c>
      <c r="K30" s="59" t="s">
        <v>15</v>
      </c>
      <c r="L30" s="59" t="s">
        <v>15</v>
      </c>
      <c r="M30" s="59" t="s">
        <v>15</v>
      </c>
      <c r="N30" s="39" t="s">
        <v>15</v>
      </c>
      <c r="O30" s="59" t="s">
        <v>15</v>
      </c>
      <c r="P30" s="59" t="s">
        <v>15</v>
      </c>
      <c r="Q30" s="39" t="s">
        <v>15</v>
      </c>
      <c r="R30" s="39" t="s">
        <v>15</v>
      </c>
      <c r="S30" s="39" t="s">
        <v>15</v>
      </c>
      <c r="T30" s="39" t="s">
        <v>15</v>
      </c>
      <c r="U30" s="75" t="s">
        <v>15</v>
      </c>
      <c r="V30" s="39" t="s">
        <v>15</v>
      </c>
      <c r="W30" s="59" t="s">
        <v>16</v>
      </c>
      <c r="X30" s="138">
        <f t="shared" si="1"/>
        <v>0.9</v>
      </c>
      <c r="Y30" s="39" t="s">
        <v>15</v>
      </c>
      <c r="Z30" s="39" t="s">
        <v>15</v>
      </c>
      <c r="AA30" s="39" t="s">
        <v>15</v>
      </c>
      <c r="AB30" s="39" t="s">
        <v>15</v>
      </c>
      <c r="AC30" s="39" t="s">
        <v>15</v>
      </c>
      <c r="AD30" s="39" t="s">
        <v>15</v>
      </c>
      <c r="AE30" s="39" t="s">
        <v>15</v>
      </c>
      <c r="AF30" s="39" t="s">
        <v>15</v>
      </c>
      <c r="AG30" s="70" t="s">
        <v>16</v>
      </c>
      <c r="AH30" s="59" t="s">
        <v>15</v>
      </c>
      <c r="AI30" s="59" t="s">
        <v>15</v>
      </c>
      <c r="AJ30" s="39" t="s">
        <v>15</v>
      </c>
      <c r="AK30" s="39" t="s">
        <v>15</v>
      </c>
      <c r="AL30" s="39" t="s">
        <v>15</v>
      </c>
      <c r="AM30" s="39" t="s">
        <v>15</v>
      </c>
      <c r="AN30" s="70" t="s">
        <v>16</v>
      </c>
      <c r="AO30" s="39" t="s">
        <v>15</v>
      </c>
      <c r="AP30" s="70" t="s">
        <v>16</v>
      </c>
      <c r="AQ30" s="59" t="s">
        <v>15</v>
      </c>
      <c r="AR30" s="39" t="s">
        <v>15</v>
      </c>
      <c r="AS30" s="138">
        <f t="shared" si="2"/>
        <v>0.85</v>
      </c>
      <c r="AT30" s="70" t="s">
        <v>16</v>
      </c>
      <c r="AU30" s="59" t="s">
        <v>16</v>
      </c>
      <c r="AV30" s="59" t="s">
        <v>15</v>
      </c>
      <c r="AW30" s="59" t="s">
        <v>15</v>
      </c>
      <c r="AX30" s="39" t="s">
        <v>15</v>
      </c>
      <c r="AY30" s="70" t="s">
        <v>16</v>
      </c>
      <c r="AZ30" s="208" t="s">
        <v>15</v>
      </c>
      <c r="BA30" s="138">
        <f t="shared" si="3"/>
        <v>0.5714285714</v>
      </c>
      <c r="BB30" s="39" t="s">
        <v>15</v>
      </c>
      <c r="BC30" s="39" t="s">
        <v>15</v>
      </c>
      <c r="BD30" s="70" t="s">
        <v>16</v>
      </c>
      <c r="BE30" s="39" t="s">
        <v>15</v>
      </c>
      <c r="BF30" s="59" t="s">
        <v>15</v>
      </c>
      <c r="BG30" s="39" t="s">
        <v>15</v>
      </c>
      <c r="BH30" s="39" t="s">
        <v>15</v>
      </c>
      <c r="BI30" s="39" t="s">
        <v>15</v>
      </c>
      <c r="BJ30" s="75" t="s">
        <v>15</v>
      </c>
      <c r="BK30" s="73" t="s">
        <v>16</v>
      </c>
      <c r="BL30" s="75" t="s">
        <v>15</v>
      </c>
      <c r="BM30" s="208" t="s">
        <v>15</v>
      </c>
      <c r="BN30" s="75" t="s">
        <v>15</v>
      </c>
      <c r="BO30" s="75" t="s">
        <v>15</v>
      </c>
      <c r="BP30" s="73" t="s">
        <v>16</v>
      </c>
      <c r="BQ30" s="75" t="s">
        <v>15</v>
      </c>
      <c r="BR30" s="66" t="s">
        <v>16</v>
      </c>
      <c r="BS30" s="75" t="s">
        <v>15</v>
      </c>
      <c r="BT30" s="75" t="s">
        <v>15</v>
      </c>
      <c r="BU30" s="66" t="s">
        <v>16</v>
      </c>
      <c r="BV30" s="75" t="s">
        <v>15</v>
      </c>
      <c r="BW30" s="210" t="s">
        <v>15</v>
      </c>
      <c r="BX30" s="138">
        <f t="shared" si="4"/>
        <v>0.7727272727</v>
      </c>
    </row>
    <row r="31">
      <c r="A31" s="206">
        <v>27.0</v>
      </c>
      <c r="B31" s="55"/>
      <c r="C31" s="26"/>
      <c r="D31" s="61" t="s">
        <v>15</v>
      </c>
      <c r="E31" s="61" t="s">
        <v>15</v>
      </c>
      <c r="F31" s="61" t="s">
        <v>15</v>
      </c>
      <c r="G31" s="59" t="s">
        <v>16</v>
      </c>
      <c r="H31" s="61" t="s">
        <v>15</v>
      </c>
      <c r="I31" s="59" t="s">
        <v>15</v>
      </c>
      <c r="J31" s="59" t="s">
        <v>15</v>
      </c>
      <c r="K31" s="59" t="s">
        <v>15</v>
      </c>
      <c r="L31" s="59" t="s">
        <v>15</v>
      </c>
      <c r="M31" s="59" t="s">
        <v>15</v>
      </c>
      <c r="N31" s="75" t="s">
        <v>15</v>
      </c>
      <c r="O31" s="59" t="s">
        <v>15</v>
      </c>
      <c r="P31" s="59" t="s">
        <v>15</v>
      </c>
      <c r="Q31" s="70" t="s">
        <v>16</v>
      </c>
      <c r="R31" s="75" t="s">
        <v>15</v>
      </c>
      <c r="S31" s="75" t="s">
        <v>15</v>
      </c>
      <c r="T31" s="39" t="s">
        <v>15</v>
      </c>
      <c r="U31" s="75" t="s">
        <v>15</v>
      </c>
      <c r="V31" s="75" t="s">
        <v>15</v>
      </c>
      <c r="W31" s="59" t="s">
        <v>16</v>
      </c>
      <c r="X31" s="138">
        <f t="shared" si="1"/>
        <v>0.85</v>
      </c>
      <c r="Y31" s="39" t="s">
        <v>15</v>
      </c>
      <c r="Z31" s="75" t="s">
        <v>15</v>
      </c>
      <c r="AA31" s="39" t="s">
        <v>15</v>
      </c>
      <c r="AB31" s="39" t="s">
        <v>15</v>
      </c>
      <c r="AC31" s="39" t="s">
        <v>15</v>
      </c>
      <c r="AD31" s="75" t="s">
        <v>15</v>
      </c>
      <c r="AE31" s="75" t="s">
        <v>15</v>
      </c>
      <c r="AF31" s="39" t="s">
        <v>15</v>
      </c>
      <c r="AG31" s="75" t="s">
        <v>15</v>
      </c>
      <c r="AH31" s="59" t="s">
        <v>15</v>
      </c>
      <c r="AI31" s="59" t="s">
        <v>15</v>
      </c>
      <c r="AJ31" s="75" t="s">
        <v>15</v>
      </c>
      <c r="AK31" s="75" t="s">
        <v>15</v>
      </c>
      <c r="AL31" s="75" t="s">
        <v>15</v>
      </c>
      <c r="AM31" s="39" t="s">
        <v>15</v>
      </c>
      <c r="AN31" s="73" t="s">
        <v>16</v>
      </c>
      <c r="AO31" s="75" t="s">
        <v>15</v>
      </c>
      <c r="AP31" s="75" t="s">
        <v>15</v>
      </c>
      <c r="AQ31" s="59" t="s">
        <v>15</v>
      </c>
      <c r="AR31" s="39" t="s">
        <v>15</v>
      </c>
      <c r="AS31" s="138">
        <f t="shared" si="2"/>
        <v>0.95</v>
      </c>
      <c r="AT31" s="75" t="s">
        <v>15</v>
      </c>
      <c r="AU31" s="59" t="s">
        <v>16</v>
      </c>
      <c r="AV31" s="59" t="s">
        <v>15</v>
      </c>
      <c r="AW31" s="59" t="s">
        <v>15</v>
      </c>
      <c r="AX31" s="75" t="s">
        <v>15</v>
      </c>
      <c r="AY31" s="75" t="s">
        <v>15</v>
      </c>
      <c r="AZ31" s="208" t="s">
        <v>15</v>
      </c>
      <c r="BA31" s="138">
        <f t="shared" si="3"/>
        <v>0.8571428571</v>
      </c>
      <c r="BB31" s="39" t="s">
        <v>15</v>
      </c>
      <c r="BC31" s="75" t="s">
        <v>15</v>
      </c>
      <c r="BD31" s="75" t="s">
        <v>15</v>
      </c>
      <c r="BE31" s="75" t="s">
        <v>15</v>
      </c>
      <c r="BF31" s="59" t="s">
        <v>15</v>
      </c>
      <c r="BG31" s="75" t="s">
        <v>15</v>
      </c>
      <c r="BH31" s="75" t="s">
        <v>15</v>
      </c>
      <c r="BI31" s="75" t="s">
        <v>16</v>
      </c>
      <c r="BJ31" s="75" t="s">
        <v>15</v>
      </c>
      <c r="BK31" s="218" t="s">
        <v>16</v>
      </c>
      <c r="BL31" s="75" t="s">
        <v>15</v>
      </c>
      <c r="BM31" s="208" t="s">
        <v>15</v>
      </c>
      <c r="BN31" s="75" t="s">
        <v>15</v>
      </c>
      <c r="BO31" s="59" t="s">
        <v>16</v>
      </c>
      <c r="BP31" s="73" t="s">
        <v>16</v>
      </c>
      <c r="BQ31" s="75" t="s">
        <v>15</v>
      </c>
      <c r="BR31" s="75" t="s">
        <v>15</v>
      </c>
      <c r="BS31" s="75" t="s">
        <v>15</v>
      </c>
      <c r="BT31" s="75" t="s">
        <v>15</v>
      </c>
      <c r="BU31" s="66" t="s">
        <v>16</v>
      </c>
      <c r="BV31" s="75" t="s">
        <v>15</v>
      </c>
      <c r="BW31" s="210" t="s">
        <v>15</v>
      </c>
      <c r="BX31" s="138">
        <f t="shared" si="4"/>
        <v>0.7727272727</v>
      </c>
    </row>
    <row r="32">
      <c r="A32" s="206">
        <v>28.0</v>
      </c>
      <c r="B32" s="247"/>
      <c r="C32" s="248" t="s">
        <v>66</v>
      </c>
      <c r="D32" s="207" t="s">
        <v>16</v>
      </c>
      <c r="E32" s="61" t="s">
        <v>15</v>
      </c>
      <c r="F32" s="61" t="s">
        <v>15</v>
      </c>
      <c r="G32" s="59" t="s">
        <v>16</v>
      </c>
      <c r="H32" s="59" t="s">
        <v>16</v>
      </c>
      <c r="I32" s="59" t="s">
        <v>16</v>
      </c>
      <c r="J32" s="59" t="s">
        <v>15</v>
      </c>
      <c r="K32" s="59" t="s">
        <v>16</v>
      </c>
      <c r="L32" s="59" t="s">
        <v>15</v>
      </c>
      <c r="M32" s="59" t="s">
        <v>15</v>
      </c>
      <c r="N32" s="75" t="s">
        <v>15</v>
      </c>
      <c r="O32" s="59" t="s">
        <v>16</v>
      </c>
      <c r="P32" s="59" t="s">
        <v>16</v>
      </c>
      <c r="Q32" s="70" t="s">
        <v>16</v>
      </c>
      <c r="R32" s="59" t="s">
        <v>16</v>
      </c>
      <c r="S32" s="73" t="s">
        <v>16</v>
      </c>
      <c r="T32" s="73" t="s">
        <v>16</v>
      </c>
      <c r="U32" s="73" t="s">
        <v>16</v>
      </c>
      <c r="V32" s="59" t="s">
        <v>16</v>
      </c>
      <c r="W32" s="59" t="s">
        <v>16</v>
      </c>
      <c r="X32" s="138">
        <f t="shared" si="1"/>
        <v>0.3</v>
      </c>
      <c r="Y32" s="59" t="s">
        <v>16</v>
      </c>
      <c r="Z32" s="73" t="s">
        <v>16</v>
      </c>
      <c r="AA32" s="70" t="s">
        <v>16</v>
      </c>
      <c r="AB32" s="70" t="s">
        <v>16</v>
      </c>
      <c r="AC32" s="59" t="s">
        <v>16</v>
      </c>
      <c r="AD32" s="73" t="s">
        <v>16</v>
      </c>
      <c r="AE32" s="59" t="s">
        <v>16</v>
      </c>
      <c r="AF32" s="59" t="s">
        <v>16</v>
      </c>
      <c r="AG32" s="73" t="s">
        <v>16</v>
      </c>
      <c r="AH32" s="59" t="s">
        <v>16</v>
      </c>
      <c r="AI32" s="59" t="s">
        <v>16</v>
      </c>
      <c r="AJ32" s="73" t="s">
        <v>16</v>
      </c>
      <c r="AK32" s="73" t="s">
        <v>16</v>
      </c>
      <c r="AL32" s="73" t="s">
        <v>16</v>
      </c>
      <c r="AM32" s="59" t="s">
        <v>16</v>
      </c>
      <c r="AN32" s="70" t="s">
        <v>16</v>
      </c>
      <c r="AO32" s="70" t="s">
        <v>16</v>
      </c>
      <c r="AP32" s="249" t="s">
        <v>16</v>
      </c>
      <c r="AQ32" s="249" t="s">
        <v>20</v>
      </c>
      <c r="AR32" s="249" t="s">
        <v>20</v>
      </c>
      <c r="AS32" s="235">
        <f t="shared" si="2"/>
        <v>0</v>
      </c>
      <c r="AT32" s="218" t="s">
        <v>20</v>
      </c>
      <c r="AU32" s="218" t="s">
        <v>20</v>
      </c>
      <c r="AV32" s="218" t="s">
        <v>20</v>
      </c>
      <c r="AW32" s="218" t="s">
        <v>20</v>
      </c>
      <c r="AX32" s="218" t="s">
        <v>20</v>
      </c>
      <c r="AY32" s="218" t="s">
        <v>20</v>
      </c>
      <c r="AZ32" s="218" t="s">
        <v>20</v>
      </c>
      <c r="BA32" s="235" t="str">
        <f t="shared" si="3"/>
        <v>0,00%</v>
      </c>
      <c r="BB32" s="218" t="s">
        <v>20</v>
      </c>
      <c r="BC32" s="218" t="s">
        <v>20</v>
      </c>
      <c r="BD32" s="218" t="s">
        <v>20</v>
      </c>
      <c r="BE32" s="218" t="s">
        <v>20</v>
      </c>
      <c r="BF32" s="218" t="s">
        <v>20</v>
      </c>
      <c r="BG32" s="218" t="s">
        <v>20</v>
      </c>
      <c r="BH32" s="218" t="s">
        <v>20</v>
      </c>
      <c r="BI32" s="218" t="s">
        <v>20</v>
      </c>
      <c r="BJ32" s="218" t="s">
        <v>20</v>
      </c>
      <c r="BK32" s="218" t="s">
        <v>20</v>
      </c>
      <c r="BL32" s="218" t="s">
        <v>20</v>
      </c>
      <c r="BM32" s="236" t="s">
        <v>20</v>
      </c>
      <c r="BN32" s="236" t="s">
        <v>20</v>
      </c>
      <c r="BO32" s="236" t="s">
        <v>20</v>
      </c>
      <c r="BP32" s="236" t="s">
        <v>20</v>
      </c>
      <c r="BQ32" s="236" t="s">
        <v>20</v>
      </c>
      <c r="BR32" s="236" t="s">
        <v>20</v>
      </c>
      <c r="BS32" s="236" t="s">
        <v>20</v>
      </c>
      <c r="BT32" s="249" t="s">
        <v>20</v>
      </c>
      <c r="BU32" s="249" t="s">
        <v>20</v>
      </c>
      <c r="BV32" s="249" t="s">
        <v>20</v>
      </c>
      <c r="BW32" s="223" t="s">
        <v>18</v>
      </c>
      <c r="BX32" s="235" t="str">
        <f t="shared" si="4"/>
        <v>0,00%</v>
      </c>
    </row>
    <row r="33">
      <c r="A33" s="206">
        <v>29.0</v>
      </c>
      <c r="B33" s="250"/>
      <c r="C33" s="26"/>
      <c r="D33" s="207" t="s">
        <v>16</v>
      </c>
      <c r="E33" s="61" t="s">
        <v>15</v>
      </c>
      <c r="F33" s="61" t="s">
        <v>15</v>
      </c>
      <c r="G33" s="61" t="s">
        <v>15</v>
      </c>
      <c r="H33" s="61" t="s">
        <v>15</v>
      </c>
      <c r="I33" s="59" t="s">
        <v>15</v>
      </c>
      <c r="J33" s="59" t="s">
        <v>15</v>
      </c>
      <c r="K33" s="59" t="s">
        <v>15</v>
      </c>
      <c r="L33" s="59" t="s">
        <v>15</v>
      </c>
      <c r="M33" s="59" t="s">
        <v>15</v>
      </c>
      <c r="N33" s="75" t="s">
        <v>15</v>
      </c>
      <c r="O33" s="59" t="s">
        <v>15</v>
      </c>
      <c r="P33" s="59" t="s">
        <v>15</v>
      </c>
      <c r="Q33" s="75" t="s">
        <v>15</v>
      </c>
      <c r="R33" s="75" t="s">
        <v>15</v>
      </c>
      <c r="S33" s="75" t="s">
        <v>15</v>
      </c>
      <c r="T33" s="39" t="s">
        <v>15</v>
      </c>
      <c r="U33" s="75" t="s">
        <v>15</v>
      </c>
      <c r="V33" s="75" t="s">
        <v>15</v>
      </c>
      <c r="W33" s="75" t="s">
        <v>15</v>
      </c>
      <c r="X33" s="138">
        <f t="shared" si="1"/>
        <v>0.95</v>
      </c>
      <c r="Y33" s="59" t="s">
        <v>16</v>
      </c>
      <c r="Z33" s="73" t="s">
        <v>16</v>
      </c>
      <c r="AA33" s="70" t="s">
        <v>16</v>
      </c>
      <c r="AB33" s="39" t="s">
        <v>15</v>
      </c>
      <c r="AC33" s="39" t="s">
        <v>15</v>
      </c>
      <c r="AD33" s="73" t="s">
        <v>16</v>
      </c>
      <c r="AE33" s="75" t="s">
        <v>15</v>
      </c>
      <c r="AF33" s="59" t="s">
        <v>16</v>
      </c>
      <c r="AG33" s="73" t="s">
        <v>16</v>
      </c>
      <c r="AH33" s="59" t="s">
        <v>15</v>
      </c>
      <c r="AI33" s="59" t="s">
        <v>15</v>
      </c>
      <c r="AJ33" s="75" t="s">
        <v>15</v>
      </c>
      <c r="AK33" s="75" t="s">
        <v>15</v>
      </c>
      <c r="AL33" s="75" t="s">
        <v>15</v>
      </c>
      <c r="AM33" s="39" t="s">
        <v>15</v>
      </c>
      <c r="AN33" s="73" t="s">
        <v>16</v>
      </c>
      <c r="AO33" s="75" t="s">
        <v>15</v>
      </c>
      <c r="AP33" s="59" t="s">
        <v>16</v>
      </c>
      <c r="AQ33" s="59" t="s">
        <v>15</v>
      </c>
      <c r="AR33" s="39" t="s">
        <v>15</v>
      </c>
      <c r="AS33" s="138">
        <f t="shared" si="2"/>
        <v>0.6</v>
      </c>
      <c r="AT33" s="75" t="s">
        <v>15</v>
      </c>
      <c r="AU33" s="59" t="s">
        <v>15</v>
      </c>
      <c r="AV33" s="59" t="s">
        <v>15</v>
      </c>
      <c r="AW33" s="59" t="s">
        <v>15</v>
      </c>
      <c r="AX33" s="75" t="s">
        <v>15</v>
      </c>
      <c r="AY33" s="75" t="s">
        <v>15</v>
      </c>
      <c r="AZ33" s="208" t="s">
        <v>15</v>
      </c>
      <c r="BA33" s="138">
        <f t="shared" si="3"/>
        <v>1</v>
      </c>
      <c r="BB33" s="39" t="s">
        <v>15</v>
      </c>
      <c r="BC33" s="75" t="s">
        <v>15</v>
      </c>
      <c r="BD33" s="75" t="s">
        <v>15</v>
      </c>
      <c r="BE33" s="75" t="s">
        <v>15</v>
      </c>
      <c r="BF33" s="59" t="s">
        <v>15</v>
      </c>
      <c r="BG33" s="75" t="s">
        <v>15</v>
      </c>
      <c r="BH33" s="75" t="s">
        <v>16</v>
      </c>
      <c r="BI33" s="75" t="s">
        <v>15</v>
      </c>
      <c r="BJ33" s="75" t="s">
        <v>15</v>
      </c>
      <c r="BK33" s="73" t="s">
        <v>16</v>
      </c>
      <c r="BL33" s="73" t="s">
        <v>16</v>
      </c>
      <c r="BM33" s="208" t="s">
        <v>16</v>
      </c>
      <c r="BN33" s="75" t="s">
        <v>15</v>
      </c>
      <c r="BO33" s="75" t="s">
        <v>15</v>
      </c>
      <c r="BP33" s="75" t="s">
        <v>15</v>
      </c>
      <c r="BQ33" s="75" t="s">
        <v>15</v>
      </c>
      <c r="BR33" s="75" t="s">
        <v>15</v>
      </c>
      <c r="BS33" s="75" t="s">
        <v>15</v>
      </c>
      <c r="BT33" s="75" t="s">
        <v>15</v>
      </c>
      <c r="BU33" s="66" t="s">
        <v>16</v>
      </c>
      <c r="BV33" s="75" t="s">
        <v>15</v>
      </c>
      <c r="BW33" s="212" t="s">
        <v>16</v>
      </c>
      <c r="BX33" s="138">
        <f t="shared" si="4"/>
        <v>0.7272727273</v>
      </c>
    </row>
    <row r="34">
      <c r="A34" s="206">
        <v>30.0</v>
      </c>
      <c r="B34" s="226"/>
      <c r="C34" s="245"/>
      <c r="D34" s="207" t="s">
        <v>16</v>
      </c>
      <c r="E34" s="61" t="s">
        <v>15</v>
      </c>
      <c r="F34" s="61" t="s">
        <v>15</v>
      </c>
      <c r="G34" s="61" t="s">
        <v>15</v>
      </c>
      <c r="H34" s="61" t="s">
        <v>15</v>
      </c>
      <c r="I34" s="59" t="s">
        <v>15</v>
      </c>
      <c r="J34" s="59" t="s">
        <v>15</v>
      </c>
      <c r="K34" s="59" t="s">
        <v>16</v>
      </c>
      <c r="L34" s="59" t="s">
        <v>15</v>
      </c>
      <c r="M34" s="59" t="s">
        <v>15</v>
      </c>
      <c r="N34" s="73" t="s">
        <v>16</v>
      </c>
      <c r="O34" s="59" t="s">
        <v>16</v>
      </c>
      <c r="P34" s="59" t="s">
        <v>16</v>
      </c>
      <c r="Q34" s="70" t="s">
        <v>16</v>
      </c>
      <c r="R34" s="59" t="s">
        <v>16</v>
      </c>
      <c r="S34" s="75" t="s">
        <v>15</v>
      </c>
      <c r="T34" s="39" t="s">
        <v>15</v>
      </c>
      <c r="U34" s="73" t="s">
        <v>16</v>
      </c>
      <c r="V34" s="75" t="s">
        <v>15</v>
      </c>
      <c r="W34" s="59" t="s">
        <v>16</v>
      </c>
      <c r="X34" s="138">
        <f t="shared" si="1"/>
        <v>0.55</v>
      </c>
      <c r="Y34" s="59" t="s">
        <v>16</v>
      </c>
      <c r="Z34" s="73" t="s">
        <v>16</v>
      </c>
      <c r="AA34" s="70" t="s">
        <v>16</v>
      </c>
      <c r="AB34" s="39" t="s">
        <v>15</v>
      </c>
      <c r="AC34" s="39" t="s">
        <v>15</v>
      </c>
      <c r="AD34" s="73" t="s">
        <v>16</v>
      </c>
      <c r="AE34" s="59" t="s">
        <v>16</v>
      </c>
      <c r="AF34" s="59" t="s">
        <v>16</v>
      </c>
      <c r="AG34" s="73" t="s">
        <v>16</v>
      </c>
      <c r="AH34" s="59" t="s">
        <v>15</v>
      </c>
      <c r="AI34" s="59" t="s">
        <v>15</v>
      </c>
      <c r="AJ34" s="75" t="s">
        <v>15</v>
      </c>
      <c r="AK34" s="75" t="s">
        <v>15</v>
      </c>
      <c r="AL34" s="75" t="s">
        <v>15</v>
      </c>
      <c r="AM34" s="39" t="s">
        <v>15</v>
      </c>
      <c r="AN34" s="75" t="s">
        <v>15</v>
      </c>
      <c r="AO34" s="75" t="s">
        <v>15</v>
      </c>
      <c r="AP34" s="75" t="s">
        <v>15</v>
      </c>
      <c r="AQ34" s="59" t="s">
        <v>16</v>
      </c>
      <c r="AR34" s="39" t="s">
        <v>15</v>
      </c>
      <c r="AS34" s="138">
        <f t="shared" si="2"/>
        <v>0.6</v>
      </c>
      <c r="AT34" s="75" t="s">
        <v>15</v>
      </c>
      <c r="AU34" s="59" t="s">
        <v>16</v>
      </c>
      <c r="AV34" s="59" t="s">
        <v>15</v>
      </c>
      <c r="AW34" s="59" t="s">
        <v>15</v>
      </c>
      <c r="AX34" s="75" t="s">
        <v>15</v>
      </c>
      <c r="AY34" s="75" t="s">
        <v>15</v>
      </c>
      <c r="AZ34" s="208" t="s">
        <v>15</v>
      </c>
      <c r="BA34" s="138">
        <f t="shared" si="3"/>
        <v>0.8571428571</v>
      </c>
      <c r="BB34" s="39" t="s">
        <v>15</v>
      </c>
      <c r="BC34" s="75" t="s">
        <v>15</v>
      </c>
      <c r="BD34" s="75" t="s">
        <v>15</v>
      </c>
      <c r="BE34" s="75" t="s">
        <v>15</v>
      </c>
      <c r="BF34" s="59" t="s">
        <v>15</v>
      </c>
      <c r="BG34" s="75" t="s">
        <v>16</v>
      </c>
      <c r="BH34" s="75" t="s">
        <v>16</v>
      </c>
      <c r="BI34" s="75" t="s">
        <v>16</v>
      </c>
      <c r="BJ34" s="73" t="s">
        <v>16</v>
      </c>
      <c r="BK34" s="75" t="s">
        <v>15</v>
      </c>
      <c r="BL34" s="75" t="s">
        <v>15</v>
      </c>
      <c r="BM34" s="208" t="s">
        <v>15</v>
      </c>
      <c r="BN34" s="75" t="s">
        <v>15</v>
      </c>
      <c r="BO34" s="75" t="s">
        <v>15</v>
      </c>
      <c r="BP34" s="75" t="s">
        <v>15</v>
      </c>
      <c r="BQ34" s="75" t="s">
        <v>15</v>
      </c>
      <c r="BR34" s="75" t="s">
        <v>15</v>
      </c>
      <c r="BS34" s="75" t="s">
        <v>15</v>
      </c>
      <c r="BT34" s="75" t="s">
        <v>15</v>
      </c>
      <c r="BU34" s="75" t="s">
        <v>15</v>
      </c>
      <c r="BV34" s="75" t="s">
        <v>15</v>
      </c>
      <c r="BW34" s="210" t="s">
        <v>15</v>
      </c>
      <c r="BX34" s="138">
        <f t="shared" si="4"/>
        <v>0.8181818182</v>
      </c>
    </row>
    <row r="35">
      <c r="A35" s="251">
        <v>31.0</v>
      </c>
      <c r="B35" s="252"/>
      <c r="C35" s="253">
        <v>46185.0</v>
      </c>
      <c r="D35" s="222" t="s">
        <v>18</v>
      </c>
      <c r="E35" s="222" t="s">
        <v>18</v>
      </c>
      <c r="F35" s="222" t="s">
        <v>18</v>
      </c>
      <c r="G35" s="222" t="s">
        <v>18</v>
      </c>
      <c r="H35" s="222" t="s">
        <v>18</v>
      </c>
      <c r="I35" s="222" t="s">
        <v>18</v>
      </c>
      <c r="J35" s="222" t="s">
        <v>18</v>
      </c>
      <c r="K35" s="222" t="s">
        <v>18</v>
      </c>
      <c r="L35" s="222" t="s">
        <v>18</v>
      </c>
      <c r="M35" s="222" t="s">
        <v>18</v>
      </c>
      <c r="N35" s="222" t="s">
        <v>18</v>
      </c>
      <c r="O35" s="222" t="s">
        <v>18</v>
      </c>
      <c r="P35" s="222" t="s">
        <v>18</v>
      </c>
      <c r="Q35" s="222" t="s">
        <v>18</v>
      </c>
      <c r="R35" s="222" t="s">
        <v>18</v>
      </c>
      <c r="S35" s="222" t="s">
        <v>18</v>
      </c>
      <c r="T35" s="222" t="s">
        <v>18</v>
      </c>
      <c r="U35" s="222" t="s">
        <v>18</v>
      </c>
      <c r="V35" s="222" t="s">
        <v>18</v>
      </c>
      <c r="W35" s="222" t="s">
        <v>18</v>
      </c>
      <c r="X35" s="235" t="str">
        <f t="shared" si="1"/>
        <v>0,00%</v>
      </c>
      <c r="Y35" s="222" t="s">
        <v>18</v>
      </c>
      <c r="Z35" s="222" t="s">
        <v>18</v>
      </c>
      <c r="AA35" s="222" t="s">
        <v>18</v>
      </c>
      <c r="AB35" s="222" t="s">
        <v>18</v>
      </c>
      <c r="AC35" s="222" t="s">
        <v>18</v>
      </c>
      <c r="AD35" s="222" t="s">
        <v>18</v>
      </c>
      <c r="AE35" s="222" t="s">
        <v>18</v>
      </c>
      <c r="AF35" s="222" t="s">
        <v>18</v>
      </c>
      <c r="AG35" s="218" t="s">
        <v>15</v>
      </c>
      <c r="AH35" s="59" t="s">
        <v>15</v>
      </c>
      <c r="AI35" s="59" t="s">
        <v>15</v>
      </c>
      <c r="AJ35" s="70" t="s">
        <v>16</v>
      </c>
      <c r="AK35" s="59" t="s">
        <v>16</v>
      </c>
      <c r="AL35" s="75" t="s">
        <v>15</v>
      </c>
      <c r="AM35" s="39" t="s">
        <v>15</v>
      </c>
      <c r="AN35" s="73" t="s">
        <v>16</v>
      </c>
      <c r="AO35" s="59" t="s">
        <v>16</v>
      </c>
      <c r="AP35" s="75" t="s">
        <v>15</v>
      </c>
      <c r="AQ35" s="59" t="s">
        <v>16</v>
      </c>
      <c r="AR35" s="39" t="s">
        <v>15</v>
      </c>
      <c r="AS35" s="138">
        <f>IFERROR(COUNTIF(AG35:AR35,"P")/(COUNTIF(AG35:AR35,"P")+COUNTIF(AG35:AR35,"F")), "0,00%")</f>
        <v>0.5833333333</v>
      </c>
      <c r="AT35" s="73" t="s">
        <v>16</v>
      </c>
      <c r="AU35" s="59" t="s">
        <v>16</v>
      </c>
      <c r="AV35" s="59" t="s">
        <v>15</v>
      </c>
      <c r="AW35" s="59" t="s">
        <v>15</v>
      </c>
      <c r="AX35" s="75" t="s">
        <v>15</v>
      </c>
      <c r="AY35" s="70" t="s">
        <v>16</v>
      </c>
      <c r="AZ35" s="208" t="s">
        <v>15</v>
      </c>
      <c r="BA35" s="138">
        <f t="shared" si="3"/>
        <v>0.5714285714</v>
      </c>
      <c r="BB35" s="39" t="s">
        <v>15</v>
      </c>
      <c r="BC35" s="75" t="s">
        <v>15</v>
      </c>
      <c r="BD35" s="75" t="s">
        <v>15</v>
      </c>
      <c r="BE35" s="59" t="s">
        <v>16</v>
      </c>
      <c r="BF35" s="59" t="s">
        <v>15</v>
      </c>
      <c r="BG35" s="59" t="s">
        <v>15</v>
      </c>
      <c r="BH35" s="59" t="s">
        <v>16</v>
      </c>
      <c r="BI35" s="59" t="s">
        <v>15</v>
      </c>
      <c r="BJ35" s="75" t="s">
        <v>15</v>
      </c>
      <c r="BK35" s="59" t="s">
        <v>15</v>
      </c>
      <c r="BL35" s="75" t="s">
        <v>15</v>
      </c>
      <c r="BM35" s="208" t="s">
        <v>15</v>
      </c>
      <c r="BN35" s="75" t="s">
        <v>15</v>
      </c>
      <c r="BO35" s="59" t="s">
        <v>16</v>
      </c>
      <c r="BP35" s="75" t="s">
        <v>15</v>
      </c>
      <c r="BQ35" s="75" t="s">
        <v>15</v>
      </c>
      <c r="BR35" s="66" t="s">
        <v>16</v>
      </c>
      <c r="BS35" s="75" t="s">
        <v>15</v>
      </c>
      <c r="BT35" s="66" t="s">
        <v>16</v>
      </c>
      <c r="BU35" s="75" t="s">
        <v>15</v>
      </c>
      <c r="BV35" s="75" t="s">
        <v>15</v>
      </c>
      <c r="BW35" s="210" t="s">
        <v>15</v>
      </c>
      <c r="BX35" s="138">
        <f t="shared" si="4"/>
        <v>0.7727272727</v>
      </c>
    </row>
    <row r="36">
      <c r="A36" s="6"/>
      <c r="E36" s="254"/>
      <c r="F36" s="255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95"/>
    </row>
    <row r="37">
      <c r="A37" s="6"/>
      <c r="E37" s="256" t="s">
        <v>28</v>
      </c>
      <c r="F37" s="257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95"/>
    </row>
    <row r="38">
      <c r="A38" s="6"/>
      <c r="E38" s="258"/>
      <c r="F38" s="259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101"/>
    </row>
    <row r="39">
      <c r="A39" s="6"/>
      <c r="E39" s="117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101"/>
    </row>
    <row r="40">
      <c r="A40" s="6"/>
      <c r="E40" s="117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101"/>
    </row>
    <row r="41">
      <c r="A41" s="6"/>
      <c r="E41" s="117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101"/>
    </row>
    <row r="42">
      <c r="A42" s="6"/>
      <c r="E42" s="97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101"/>
    </row>
    <row r="43">
      <c r="A43" s="6"/>
      <c r="E43" s="97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101"/>
    </row>
    <row r="44">
      <c r="A44" s="6"/>
      <c r="E44" s="97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101"/>
    </row>
    <row r="45">
      <c r="A45" s="6"/>
      <c r="E45" s="97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101"/>
    </row>
    <row r="46">
      <c r="A46" s="6"/>
      <c r="E46" s="97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101"/>
    </row>
    <row r="47">
      <c r="A47" s="6"/>
      <c r="E47" s="97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101"/>
    </row>
    <row r="48">
      <c r="E48" s="97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8"/>
      <c r="AQ48" s="98"/>
      <c r="AR48" s="98"/>
      <c r="AS48" s="101"/>
    </row>
  </sheetData>
  <mergeCells count="19">
    <mergeCell ref="D1:W3"/>
    <mergeCell ref="AT1:AZ3"/>
    <mergeCell ref="BB1:BW3"/>
    <mergeCell ref="X2:X3"/>
    <mergeCell ref="AS2:AS3"/>
    <mergeCell ref="BA2:BA3"/>
    <mergeCell ref="BX2:BX3"/>
    <mergeCell ref="E44:AS44"/>
    <mergeCell ref="E45:AS45"/>
    <mergeCell ref="E46:AS46"/>
    <mergeCell ref="E47:AS47"/>
    <mergeCell ref="E48:AS48"/>
    <mergeCell ref="Y1:AR3"/>
    <mergeCell ref="E38:AS38"/>
    <mergeCell ref="E39:AS39"/>
    <mergeCell ref="E40:AS40"/>
    <mergeCell ref="E41:AS41"/>
    <mergeCell ref="E42:AS42"/>
    <mergeCell ref="E43:AS43"/>
  </mergeCells>
  <conditionalFormatting sqref="D5:D38 E5:J41 K5:K38 L5:AE41 AF5:AF38 AG5:BE41 BF5:BW35 BX21">
    <cfRule type="cellIs" dxfId="3" priority="1" operator="equal">
      <formula>"P"</formula>
    </cfRule>
  </conditionalFormatting>
  <conditionalFormatting sqref="D5:D38 E5:J41 K5:K38 L5:AE41 AF5:AF38 AG5:BE41 BF5:BW35 BX21">
    <cfRule type="cellIs" dxfId="4" priority="2" operator="equal">
      <formula>"F"</formula>
    </cfRule>
  </conditionalFormatting>
  <dataValidations>
    <dataValidation type="list" allowBlank="1" showDropDown="1" sqref="D5:F5 AR5 AJ5:AP7 BB5:BE7 Q5:W8 AJ8:AL8 AN8:AP8 BB8:BD8 Q9:V9 BB9:BE9 D6:H10 Q10:U10 Y5:AG10 BB10:BD10 D11:G11 Z11:AG11 AJ9:AJ11 AL9:AP11 BB11:BE11 BB12:BD12 Q11:W13 Y12:AG13 BB13:BE13 Q14:V14 AG14 BB14:BD14 D12:H15 N5:N15 Q15:U15 W15 Y14:AD15 AF15:AG15 AJ12:AP15 AR7:AR15 AT5:AT15 AX5:AY15 BB15:BE15 BG5:BL15 BN5:BV15 D16:W16 Y16:AR16 AT16:AZ16 BB16:BW16 D17:F17 Q17:V17 Z17:AG17 AJ17:AN17 AP17 BB17:BD17 BN17 BP17:BV17 Q18 S18:W18 Y18:AD18 AF18:AG18 AJ18:AP18 AR17:AR18 D18:G19 Q19:V19 Z19:AD19 AG19 AJ19:AN19 AP19 Z20:AG20 BB18:BE20 AJ20:AP21 AR21 BB21:BD21 Q20:W22 AJ22 AL22:AP22 D20:H23 Q23 S23:W23 D24:F24 N17:N24 Q24:U24 W24 Y21:AG24 AJ23:AP24 AR23:AR24 AT17:AT24 AX17:AY24 BB22:BE24 BG17:BL24 BN18:BV24 D25:W25 Y25:AR25 AT25:AZ25 BB25:BW25 Q26:V26 Y26:AE26 AG26 AJ26:AL26 AN26:AP26 BB26:BD26 Y27:AD27 AF27:AG27 Q27:W28 Y28:AG28 AJ27:AJ28 AL27:AP28 Q29 S29:W29 Z29:AG29 D26:H30 BN26:BV30 H31 Q30:V31 Y30:AG31 AJ29:AP31 AR26:AR31 AT26:AT31 AX26:AY31 BB27:BE31 BG26:BL31 BN31 BP31:BV31 D31:F32 Q32 S32:U32 Z32:AB32 AD32 AJ32:AL32 AN32:AR32 AT32:AZ32 BB32:BW32 Q33:W33 Z33:AE33 D33:H34 N26:N34 Q34 S34:V34 Z34:AD34 AG32:AG34 AJ33:AP34 BB33:BE34 BG33:BL34 BN33:BV34 D35:W35 Y35:AG35 AJ35 AL35:AN35 AP35 AR33:AR35 AT33:AT35 AX33:AY35 BB35:BD35 BG35:BJ35 BL35 BN35 BP35:BV35">
      <formula1>"-,P,F"</formula1>
    </dataValidation>
    <dataValidation type="custom" allowBlank="1" showDropDown="1" sqref="B7 C8 B9 B16 B18 B28:B29 B34:B35">
      <formula1>OR(NOT(ISERROR(DATEVALUE(B7))), AND(ISNUMBER(B7), LEFT(CELL("format", B7))="D"))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36"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4.0"/>
    <col customWidth="1" min="2" max="2" width="36.0"/>
    <col customWidth="1" min="4" max="23" width="2.63"/>
    <col customWidth="1" min="24" max="24" width="7.75"/>
    <col customWidth="1" min="25" max="44" width="2.63"/>
    <col customWidth="1" min="45" max="45" width="7.13"/>
    <col customWidth="1" min="46" max="52" width="2.63"/>
    <col customWidth="1" min="53" max="53" width="7.25"/>
    <col customWidth="1" min="54" max="75" width="2.63"/>
    <col customWidth="1" min="76" max="76" width="8.25"/>
    <col customWidth="1" min="77" max="94" width="2.63"/>
  </cols>
  <sheetData>
    <row r="1">
      <c r="A1" s="1" t="s">
        <v>67</v>
      </c>
      <c r="B1" s="1"/>
      <c r="C1" s="1"/>
      <c r="D1" s="2" t="s">
        <v>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 t="s">
        <v>2</v>
      </c>
      <c r="Y1" s="2" t="s">
        <v>7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4"/>
      <c r="AS1" s="5" t="s">
        <v>2</v>
      </c>
      <c r="AT1" s="2" t="s">
        <v>8</v>
      </c>
      <c r="AU1" s="3"/>
      <c r="AV1" s="3"/>
      <c r="AW1" s="3"/>
      <c r="AX1" s="3"/>
      <c r="AY1" s="3"/>
      <c r="AZ1" s="4"/>
      <c r="BA1" s="5" t="s">
        <v>2</v>
      </c>
      <c r="BB1" s="2" t="s">
        <v>9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4"/>
      <c r="BX1" s="5" t="s">
        <v>2</v>
      </c>
    </row>
    <row r="2">
      <c r="C2" s="6"/>
      <c r="D2" s="7"/>
      <c r="W2" s="8"/>
      <c r="X2" s="9">
        <f>COUNT(D4:Q4)</f>
        <v>14</v>
      </c>
      <c r="Y2" s="7"/>
      <c r="AR2" s="8"/>
      <c r="AS2" s="9">
        <f>COUNT(Y4:AR4)</f>
        <v>20</v>
      </c>
      <c r="AT2" s="7"/>
      <c r="AZ2" s="8"/>
      <c r="BA2" s="9">
        <f>COUNT(AT4:AZ4)</f>
        <v>7</v>
      </c>
      <c r="BB2" s="7"/>
      <c r="BW2" s="8"/>
      <c r="BX2" s="9">
        <f>COUNT(BB4:BQ4)</f>
        <v>16</v>
      </c>
    </row>
    <row r="3">
      <c r="C3" s="6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4"/>
      <c r="X3" s="15"/>
      <c r="Y3" s="12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4"/>
      <c r="AS3" s="15"/>
      <c r="AT3" s="12"/>
      <c r="AU3" s="13"/>
      <c r="AV3" s="13"/>
      <c r="AW3" s="13"/>
      <c r="AX3" s="13"/>
      <c r="AY3" s="13"/>
      <c r="AZ3" s="14"/>
      <c r="BA3" s="15"/>
      <c r="BB3" s="12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4"/>
      <c r="BX3" s="15"/>
    </row>
    <row r="4">
      <c r="A4" s="16" t="s">
        <v>10</v>
      </c>
      <c r="B4" s="17" t="s">
        <v>11</v>
      </c>
      <c r="C4" s="16" t="s">
        <v>14</v>
      </c>
      <c r="D4" s="18">
        <v>4.0</v>
      </c>
      <c r="E4" s="18">
        <v>5.0</v>
      </c>
      <c r="F4" s="18">
        <v>6.0</v>
      </c>
      <c r="G4" s="18">
        <v>7.0</v>
      </c>
      <c r="H4" s="18">
        <v>8.0</v>
      </c>
      <c r="I4" s="18">
        <v>11.0</v>
      </c>
      <c r="J4" s="18">
        <v>12.0</v>
      </c>
      <c r="K4" s="18">
        <v>13.0</v>
      </c>
      <c r="L4" s="18">
        <v>14.0</v>
      </c>
      <c r="M4" s="18">
        <v>15.0</v>
      </c>
      <c r="N4" s="18">
        <v>18.0</v>
      </c>
      <c r="O4" s="18">
        <v>19.0</v>
      </c>
      <c r="P4" s="18">
        <v>20.0</v>
      </c>
      <c r="Q4" s="18">
        <v>21.0</v>
      </c>
      <c r="R4" s="18">
        <v>22.0</v>
      </c>
      <c r="S4" s="18">
        <v>25.0</v>
      </c>
      <c r="T4" s="18">
        <v>26.0</v>
      </c>
      <c r="U4" s="18">
        <v>27.0</v>
      </c>
      <c r="V4" s="18">
        <v>28.0</v>
      </c>
      <c r="W4" s="18">
        <v>29.0</v>
      </c>
      <c r="X4" s="19" t="s">
        <v>13</v>
      </c>
      <c r="Y4" s="18">
        <v>1.0</v>
      </c>
      <c r="Z4" s="18">
        <v>2.0</v>
      </c>
      <c r="AA4" s="18">
        <v>3.0</v>
      </c>
      <c r="AB4" s="18">
        <v>8.0</v>
      </c>
      <c r="AC4" s="18">
        <v>9.0</v>
      </c>
      <c r="AD4" s="18">
        <v>10.0</v>
      </c>
      <c r="AE4" s="18">
        <v>11.0</v>
      </c>
      <c r="AF4" s="18">
        <v>12.0</v>
      </c>
      <c r="AG4" s="18">
        <v>15.0</v>
      </c>
      <c r="AH4" s="18">
        <v>16.0</v>
      </c>
      <c r="AI4" s="18">
        <v>17.0</v>
      </c>
      <c r="AJ4" s="18">
        <v>18.0</v>
      </c>
      <c r="AK4" s="18">
        <v>19.0</v>
      </c>
      <c r="AL4" s="18">
        <v>22.0</v>
      </c>
      <c r="AM4" s="18">
        <v>23.0</v>
      </c>
      <c r="AN4" s="18">
        <v>24.0</v>
      </c>
      <c r="AO4" s="18">
        <v>25.0</v>
      </c>
      <c r="AP4" s="18">
        <v>26.0</v>
      </c>
      <c r="AQ4" s="18">
        <v>29.0</v>
      </c>
      <c r="AR4" s="18">
        <v>30.0</v>
      </c>
      <c r="AS4" s="19" t="s">
        <v>13</v>
      </c>
      <c r="AT4" s="18">
        <v>1.0</v>
      </c>
      <c r="AU4" s="18">
        <v>2.0</v>
      </c>
      <c r="AV4" s="18">
        <v>3.0</v>
      </c>
      <c r="AW4" s="18">
        <v>28.0</v>
      </c>
      <c r="AX4" s="18">
        <v>29.0</v>
      </c>
      <c r="AY4" s="18">
        <v>30.0</v>
      </c>
      <c r="AZ4" s="18">
        <v>31.0</v>
      </c>
      <c r="BA4" s="19" t="s">
        <v>13</v>
      </c>
      <c r="BB4" s="18">
        <v>3.0</v>
      </c>
      <c r="BC4" s="18">
        <v>4.0</v>
      </c>
      <c r="BD4" s="18">
        <v>5.0</v>
      </c>
      <c r="BE4" s="18">
        <v>6.0</v>
      </c>
      <c r="BF4" s="18">
        <v>7.0</v>
      </c>
      <c r="BG4" s="18">
        <v>10.0</v>
      </c>
      <c r="BH4" s="18">
        <v>11.0</v>
      </c>
      <c r="BI4" s="18">
        <v>12.0</v>
      </c>
      <c r="BJ4" s="18">
        <v>13.0</v>
      </c>
      <c r="BK4" s="18">
        <v>14.0</v>
      </c>
      <c r="BL4" s="18">
        <v>17.0</v>
      </c>
      <c r="BM4" s="18">
        <v>18.0</v>
      </c>
      <c r="BN4" s="18">
        <v>19.0</v>
      </c>
      <c r="BO4" s="18">
        <v>20.0</v>
      </c>
      <c r="BP4" s="18">
        <v>21.0</v>
      </c>
      <c r="BQ4" s="18">
        <v>22.0</v>
      </c>
      <c r="BR4" s="18">
        <v>24.0</v>
      </c>
      <c r="BS4" s="18">
        <v>25.0</v>
      </c>
      <c r="BT4" s="18">
        <v>26.0</v>
      </c>
      <c r="BU4" s="18">
        <v>27.0</v>
      </c>
      <c r="BV4" s="18">
        <v>28.0</v>
      </c>
      <c r="BW4" s="18">
        <v>31.0</v>
      </c>
      <c r="BX4" s="19" t="s">
        <v>13</v>
      </c>
      <c r="BY4" s="107">
        <v>1.0</v>
      </c>
    </row>
    <row r="5">
      <c r="A5" s="206">
        <v>1.0</v>
      </c>
      <c r="B5" s="25"/>
      <c r="C5" s="26"/>
      <c r="D5" s="16" t="s">
        <v>16</v>
      </c>
      <c r="E5" s="16" t="s">
        <v>15</v>
      </c>
      <c r="F5" s="16" t="s">
        <v>15</v>
      </c>
      <c r="G5" s="16" t="s">
        <v>15</v>
      </c>
      <c r="H5" s="16" t="s">
        <v>15</v>
      </c>
      <c r="I5" s="16" t="s">
        <v>15</v>
      </c>
      <c r="J5" s="16" t="s">
        <v>15</v>
      </c>
      <c r="K5" s="16" t="s">
        <v>15</v>
      </c>
      <c r="L5" s="16" t="s">
        <v>15</v>
      </c>
      <c r="M5" s="16" t="s">
        <v>15</v>
      </c>
      <c r="N5" s="16" t="s">
        <v>15</v>
      </c>
      <c r="O5" s="16" t="s">
        <v>15</v>
      </c>
      <c r="P5" s="16" t="s">
        <v>15</v>
      </c>
      <c r="Q5" s="16" t="s">
        <v>15</v>
      </c>
      <c r="R5" s="260" t="s">
        <v>15</v>
      </c>
      <c r="S5" s="29" t="s">
        <v>15</v>
      </c>
      <c r="T5" s="29" t="s">
        <v>16</v>
      </c>
      <c r="U5" s="29" t="s">
        <v>15</v>
      </c>
      <c r="V5" s="29" t="s">
        <v>15</v>
      </c>
      <c r="W5" s="29" t="s">
        <v>16</v>
      </c>
      <c r="X5" s="22">
        <f t="shared" ref="X5:X35" si="1">IFERROR(COUNTIF(D5:W5,"P")/(COUNTIF(D5:W5,"P")+COUNTIF(D5:W5,"F")), "0,00%")</f>
        <v>0.85</v>
      </c>
      <c r="Y5" s="16" t="s">
        <v>16</v>
      </c>
      <c r="Z5" s="16" t="s">
        <v>15</v>
      </c>
      <c r="AA5" s="16" t="s">
        <v>16</v>
      </c>
      <c r="AB5" s="16" t="s">
        <v>15</v>
      </c>
      <c r="AC5" s="16" t="s">
        <v>15</v>
      </c>
      <c r="AD5" s="16" t="s">
        <v>16</v>
      </c>
      <c r="AE5" s="16" t="s">
        <v>15</v>
      </c>
      <c r="AF5" s="16" t="s">
        <v>16</v>
      </c>
      <c r="AG5" s="16" t="s">
        <v>16</v>
      </c>
      <c r="AH5" s="16" t="s">
        <v>15</v>
      </c>
      <c r="AI5" s="16" t="s">
        <v>15</v>
      </c>
      <c r="AJ5" s="16" t="s">
        <v>15</v>
      </c>
      <c r="AK5" s="16" t="s">
        <v>16</v>
      </c>
      <c r="AL5" s="16" t="s">
        <v>15</v>
      </c>
      <c r="AM5" s="16" t="s">
        <v>15</v>
      </c>
      <c r="AN5" s="16" t="s">
        <v>16</v>
      </c>
      <c r="AO5" s="16" t="s">
        <v>15</v>
      </c>
      <c r="AP5" s="16" t="s">
        <v>16</v>
      </c>
      <c r="AQ5" s="16" t="s">
        <v>16</v>
      </c>
      <c r="AR5" s="16" t="s">
        <v>16</v>
      </c>
      <c r="AS5" s="22">
        <f t="shared" ref="AS5:AS35" si="2">IFERROR(COUNTIF(Y5:AR5,"P")/(COUNTIF(Y5:AR5,"P")+COUNTIF(Y5:AR5,"F")), "0,00%")</f>
        <v>0.5</v>
      </c>
      <c r="AT5" s="16" t="s">
        <v>16</v>
      </c>
      <c r="AU5" s="16" t="s">
        <v>15</v>
      </c>
      <c r="AV5" s="16" t="s">
        <v>15</v>
      </c>
      <c r="AW5" s="16" t="s">
        <v>15</v>
      </c>
      <c r="AX5" s="16" t="s">
        <v>15</v>
      </c>
      <c r="AY5" s="16" t="s">
        <v>15</v>
      </c>
      <c r="AZ5" s="16" t="s">
        <v>16</v>
      </c>
      <c r="BA5" s="22">
        <f t="shared" ref="BA5:BA35" si="3">IFERROR(COUNTIF(AT5:AZ5,"P")/(COUNTIF(AT5:AZ5,"P")+COUNTIF(AT5:AZ5,"F")), "0,00%")</f>
        <v>0.7142857143</v>
      </c>
      <c r="BB5" s="261" t="s">
        <v>15</v>
      </c>
      <c r="BC5" s="16" t="s">
        <v>15</v>
      </c>
      <c r="BD5" s="261" t="s">
        <v>15</v>
      </c>
      <c r="BE5" s="261" t="s">
        <v>16</v>
      </c>
      <c r="BF5" s="261" t="s">
        <v>16</v>
      </c>
      <c r="BG5" s="16" t="s">
        <v>15</v>
      </c>
      <c r="BH5" s="16" t="s">
        <v>16</v>
      </c>
      <c r="BI5" s="16" t="s">
        <v>15</v>
      </c>
      <c r="BJ5" s="16" t="s">
        <v>15</v>
      </c>
      <c r="BK5" s="262" t="s">
        <v>15</v>
      </c>
      <c r="BL5" s="16" t="s">
        <v>15</v>
      </c>
      <c r="BM5" s="16" t="s">
        <v>16</v>
      </c>
      <c r="BN5" s="16" t="s">
        <v>15</v>
      </c>
      <c r="BO5" s="261" t="s">
        <v>15</v>
      </c>
      <c r="BP5" s="261" t="s">
        <v>15</v>
      </c>
      <c r="BQ5" s="208" t="s">
        <v>15</v>
      </c>
      <c r="BR5" s="263" t="s">
        <v>15</v>
      </c>
      <c r="BS5" s="16" t="s">
        <v>16</v>
      </c>
      <c r="BT5" s="264" t="s">
        <v>16</v>
      </c>
      <c r="BU5" s="16" t="s">
        <v>15</v>
      </c>
      <c r="BV5" s="16" t="s">
        <v>15</v>
      </c>
      <c r="BW5" s="265" t="s">
        <v>15</v>
      </c>
      <c r="BX5" s="22">
        <f t="shared" ref="BX5:BX35" si="4">IFERROR(COUNTIF(BB5:BW5,"P")/(COUNTIF(BB5:BW5,"P")+COUNTIF(BB5:BW5,"F")), "0,00%")</f>
        <v>0.7272727273</v>
      </c>
      <c r="BY5" s="107" t="s">
        <v>15</v>
      </c>
    </row>
    <row r="6">
      <c r="A6" s="206">
        <v>2.0</v>
      </c>
      <c r="B6" s="46"/>
      <c r="C6" s="26"/>
      <c r="D6" s="16" t="s">
        <v>16</v>
      </c>
      <c r="E6" s="16" t="s">
        <v>15</v>
      </c>
      <c r="F6" s="16" t="s">
        <v>15</v>
      </c>
      <c r="G6" s="16" t="s">
        <v>15</v>
      </c>
      <c r="H6" s="16" t="s">
        <v>15</v>
      </c>
      <c r="I6" s="16" t="s">
        <v>16</v>
      </c>
      <c r="J6" s="16" t="s">
        <v>15</v>
      </c>
      <c r="K6" s="16" t="s">
        <v>15</v>
      </c>
      <c r="L6" s="16" t="s">
        <v>15</v>
      </c>
      <c r="M6" s="16" t="s">
        <v>15</v>
      </c>
      <c r="N6" s="16" t="s">
        <v>15</v>
      </c>
      <c r="O6" s="16" t="s">
        <v>16</v>
      </c>
      <c r="P6" s="16" t="s">
        <v>15</v>
      </c>
      <c r="Q6" s="16" t="s">
        <v>15</v>
      </c>
      <c r="R6" s="260" t="s">
        <v>15</v>
      </c>
      <c r="S6" s="29" t="s">
        <v>16</v>
      </c>
      <c r="T6" s="29" t="s">
        <v>15</v>
      </c>
      <c r="U6" s="29" t="s">
        <v>15</v>
      </c>
      <c r="V6" s="29" t="s">
        <v>15</v>
      </c>
      <c r="W6" s="29" t="s">
        <v>15</v>
      </c>
      <c r="X6" s="22">
        <f t="shared" si="1"/>
        <v>0.8</v>
      </c>
      <c r="Y6" s="16" t="s">
        <v>15</v>
      </c>
      <c r="Z6" s="16" t="s">
        <v>15</v>
      </c>
      <c r="AA6" s="16" t="s">
        <v>16</v>
      </c>
      <c r="AB6" s="16" t="s">
        <v>15</v>
      </c>
      <c r="AC6" s="16" t="s">
        <v>15</v>
      </c>
      <c r="AD6" s="16" t="s">
        <v>15</v>
      </c>
      <c r="AE6" s="16" t="s">
        <v>15</v>
      </c>
      <c r="AF6" s="16" t="s">
        <v>16</v>
      </c>
      <c r="AG6" s="16" t="s">
        <v>16</v>
      </c>
      <c r="AH6" s="16" t="s">
        <v>15</v>
      </c>
      <c r="AI6" s="16" t="s">
        <v>15</v>
      </c>
      <c r="AJ6" s="16" t="s">
        <v>15</v>
      </c>
      <c r="AK6" s="16" t="s">
        <v>16</v>
      </c>
      <c r="AL6" s="16" t="s">
        <v>15</v>
      </c>
      <c r="AM6" s="16" t="s">
        <v>15</v>
      </c>
      <c r="AN6" s="16" t="s">
        <v>16</v>
      </c>
      <c r="AO6" s="16" t="s">
        <v>15</v>
      </c>
      <c r="AP6" s="16" t="s">
        <v>15</v>
      </c>
      <c r="AQ6" s="16" t="s">
        <v>16</v>
      </c>
      <c r="AR6" s="16" t="s">
        <v>16</v>
      </c>
      <c r="AS6" s="22">
        <f t="shared" si="2"/>
        <v>0.65</v>
      </c>
      <c r="AT6" s="16" t="s">
        <v>16</v>
      </c>
      <c r="AU6" s="16" t="s">
        <v>15</v>
      </c>
      <c r="AV6" s="16" t="s">
        <v>15</v>
      </c>
      <c r="AW6" s="16" t="s">
        <v>15</v>
      </c>
      <c r="AX6" s="16" t="s">
        <v>15</v>
      </c>
      <c r="AY6" s="16" t="s">
        <v>15</v>
      </c>
      <c r="AZ6" s="16" t="s">
        <v>16</v>
      </c>
      <c r="BA6" s="22">
        <f t="shared" si="3"/>
        <v>0.7142857143</v>
      </c>
      <c r="BB6" s="261" t="s">
        <v>15</v>
      </c>
      <c r="BC6" s="16" t="s">
        <v>15</v>
      </c>
      <c r="BD6" s="261" t="s">
        <v>15</v>
      </c>
      <c r="BE6" s="261" t="s">
        <v>16</v>
      </c>
      <c r="BF6" s="261" t="s">
        <v>16</v>
      </c>
      <c r="BG6" s="16" t="s">
        <v>15</v>
      </c>
      <c r="BH6" s="16" t="s">
        <v>15</v>
      </c>
      <c r="BI6" s="16" t="s">
        <v>15</v>
      </c>
      <c r="BJ6" s="16" t="s">
        <v>16</v>
      </c>
      <c r="BK6" s="262" t="s">
        <v>15</v>
      </c>
      <c r="BL6" s="16" t="s">
        <v>15</v>
      </c>
      <c r="BM6" s="16" t="s">
        <v>15</v>
      </c>
      <c r="BN6" s="16" t="s">
        <v>16</v>
      </c>
      <c r="BO6" s="261" t="s">
        <v>15</v>
      </c>
      <c r="BP6" s="261" t="s">
        <v>15</v>
      </c>
      <c r="BQ6" s="208" t="s">
        <v>15</v>
      </c>
      <c r="BR6" s="266" t="s">
        <v>15</v>
      </c>
      <c r="BS6" s="16" t="s">
        <v>15</v>
      </c>
      <c r="BT6" s="264" t="s">
        <v>16</v>
      </c>
      <c r="BU6" s="16" t="s">
        <v>15</v>
      </c>
      <c r="BV6" s="16" t="s">
        <v>15</v>
      </c>
      <c r="BW6" s="267" t="s">
        <v>15</v>
      </c>
      <c r="BX6" s="22">
        <f t="shared" si="4"/>
        <v>0.7727272727</v>
      </c>
      <c r="BY6" s="107" t="s">
        <v>15</v>
      </c>
    </row>
    <row r="7">
      <c r="A7" s="206">
        <v>3.0</v>
      </c>
      <c r="B7" s="62"/>
      <c r="C7" s="58"/>
      <c r="D7" s="16" t="s">
        <v>16</v>
      </c>
      <c r="E7" s="16" t="s">
        <v>16</v>
      </c>
      <c r="F7" s="16" t="s">
        <v>15</v>
      </c>
      <c r="G7" s="16" t="s">
        <v>15</v>
      </c>
      <c r="H7" s="16" t="s">
        <v>15</v>
      </c>
      <c r="I7" s="16" t="s">
        <v>15</v>
      </c>
      <c r="J7" s="16" t="s">
        <v>15</v>
      </c>
      <c r="K7" s="16" t="s">
        <v>15</v>
      </c>
      <c r="L7" s="16" t="s">
        <v>15</v>
      </c>
      <c r="M7" s="16" t="s">
        <v>15</v>
      </c>
      <c r="N7" s="16" t="s">
        <v>15</v>
      </c>
      <c r="O7" s="16" t="s">
        <v>15</v>
      </c>
      <c r="P7" s="16" t="s">
        <v>15</v>
      </c>
      <c r="Q7" s="16" t="s">
        <v>15</v>
      </c>
      <c r="R7" s="260" t="s">
        <v>15</v>
      </c>
      <c r="S7" s="29" t="s">
        <v>16</v>
      </c>
      <c r="T7" s="29" t="s">
        <v>15</v>
      </c>
      <c r="U7" s="29" t="s">
        <v>15</v>
      </c>
      <c r="V7" s="29" t="s">
        <v>15</v>
      </c>
      <c r="W7" s="29" t="s">
        <v>15</v>
      </c>
      <c r="X7" s="22">
        <f t="shared" si="1"/>
        <v>0.85</v>
      </c>
      <c r="Y7" s="16" t="s">
        <v>15</v>
      </c>
      <c r="Z7" s="16" t="s">
        <v>15</v>
      </c>
      <c r="AA7" s="16" t="s">
        <v>15</v>
      </c>
      <c r="AB7" s="16" t="s">
        <v>15</v>
      </c>
      <c r="AC7" s="16" t="s">
        <v>15</v>
      </c>
      <c r="AD7" s="16" t="s">
        <v>15</v>
      </c>
      <c r="AE7" s="16" t="s">
        <v>15</v>
      </c>
      <c r="AF7" s="16" t="s">
        <v>15</v>
      </c>
      <c r="AG7" s="16" t="s">
        <v>15</v>
      </c>
      <c r="AH7" s="16" t="s">
        <v>16</v>
      </c>
      <c r="AI7" s="16" t="s">
        <v>15</v>
      </c>
      <c r="AJ7" s="16" t="s">
        <v>15</v>
      </c>
      <c r="AK7" s="16" t="s">
        <v>15</v>
      </c>
      <c r="AL7" s="16" t="s">
        <v>15</v>
      </c>
      <c r="AM7" s="16" t="s">
        <v>15</v>
      </c>
      <c r="AN7" s="16" t="s">
        <v>16</v>
      </c>
      <c r="AO7" s="16" t="s">
        <v>15</v>
      </c>
      <c r="AP7" s="16" t="s">
        <v>15</v>
      </c>
      <c r="AQ7" s="16" t="s">
        <v>15</v>
      </c>
      <c r="AR7" s="16" t="s">
        <v>16</v>
      </c>
      <c r="AS7" s="22">
        <f t="shared" si="2"/>
        <v>0.85</v>
      </c>
      <c r="AT7" s="16" t="s">
        <v>15</v>
      </c>
      <c r="AU7" s="16" t="s">
        <v>15</v>
      </c>
      <c r="AV7" s="16" t="s">
        <v>15</v>
      </c>
      <c r="AW7" s="16" t="s">
        <v>15</v>
      </c>
      <c r="AX7" s="16" t="s">
        <v>15</v>
      </c>
      <c r="AY7" s="16" t="s">
        <v>15</v>
      </c>
      <c r="AZ7" s="16" t="s">
        <v>15</v>
      </c>
      <c r="BA7" s="22">
        <f t="shared" si="3"/>
        <v>1</v>
      </c>
      <c r="BB7" s="261" t="s">
        <v>15</v>
      </c>
      <c r="BC7" s="16" t="s">
        <v>15</v>
      </c>
      <c r="BD7" s="261" t="s">
        <v>16</v>
      </c>
      <c r="BE7" s="261" t="s">
        <v>15</v>
      </c>
      <c r="BF7" s="261" t="s">
        <v>16</v>
      </c>
      <c r="BG7" s="16" t="s">
        <v>15</v>
      </c>
      <c r="BH7" s="16" t="s">
        <v>15</v>
      </c>
      <c r="BI7" s="16" t="s">
        <v>15</v>
      </c>
      <c r="BJ7" s="16" t="s">
        <v>15</v>
      </c>
      <c r="BK7" s="262" t="s">
        <v>15</v>
      </c>
      <c r="BL7" s="16" t="s">
        <v>15</v>
      </c>
      <c r="BM7" s="16" t="s">
        <v>15</v>
      </c>
      <c r="BN7" s="16" t="s">
        <v>15</v>
      </c>
      <c r="BO7" s="261" t="s">
        <v>15</v>
      </c>
      <c r="BP7" s="261" t="s">
        <v>15</v>
      </c>
      <c r="BQ7" s="208" t="s">
        <v>15</v>
      </c>
      <c r="BR7" s="263" t="s">
        <v>15</v>
      </c>
      <c r="BS7" s="16" t="s">
        <v>15</v>
      </c>
      <c r="BT7" s="261" t="s">
        <v>15</v>
      </c>
      <c r="BU7" s="16" t="s">
        <v>15</v>
      </c>
      <c r="BV7" s="16" t="s">
        <v>16</v>
      </c>
      <c r="BW7" s="267" t="s">
        <v>15</v>
      </c>
      <c r="BX7" s="22">
        <f t="shared" si="4"/>
        <v>0.8636363636</v>
      </c>
      <c r="BY7" s="107" t="s">
        <v>16</v>
      </c>
    </row>
    <row r="8">
      <c r="A8" s="206">
        <v>4.0</v>
      </c>
      <c r="B8" s="81"/>
      <c r="C8" s="58"/>
      <c r="D8" s="16" t="s">
        <v>16</v>
      </c>
      <c r="E8" s="16" t="s">
        <v>15</v>
      </c>
      <c r="F8" s="16" t="s">
        <v>15</v>
      </c>
      <c r="G8" s="16" t="s">
        <v>15</v>
      </c>
      <c r="H8" s="16" t="s">
        <v>16</v>
      </c>
      <c r="I8" s="16" t="s">
        <v>15</v>
      </c>
      <c r="J8" s="16" t="s">
        <v>15</v>
      </c>
      <c r="K8" s="16" t="s">
        <v>15</v>
      </c>
      <c r="L8" s="16" t="s">
        <v>15</v>
      </c>
      <c r="M8" s="16" t="s">
        <v>15</v>
      </c>
      <c r="N8" s="16" t="s">
        <v>15</v>
      </c>
      <c r="O8" s="16" t="s">
        <v>15</v>
      </c>
      <c r="P8" s="16" t="s">
        <v>15</v>
      </c>
      <c r="Q8" s="16" t="s">
        <v>15</v>
      </c>
      <c r="R8" s="260" t="s">
        <v>15</v>
      </c>
      <c r="S8" s="29" t="s">
        <v>16</v>
      </c>
      <c r="T8" s="29" t="s">
        <v>16</v>
      </c>
      <c r="U8" s="29" t="s">
        <v>15</v>
      </c>
      <c r="V8" s="29" t="s">
        <v>15</v>
      </c>
      <c r="W8" s="29" t="s">
        <v>15</v>
      </c>
      <c r="X8" s="22">
        <f t="shared" si="1"/>
        <v>0.8</v>
      </c>
      <c r="Y8" s="16" t="s">
        <v>15</v>
      </c>
      <c r="Z8" s="16" t="s">
        <v>15</v>
      </c>
      <c r="AA8" s="16" t="s">
        <v>15</v>
      </c>
      <c r="AB8" s="16" t="s">
        <v>15</v>
      </c>
      <c r="AC8" s="16" t="s">
        <v>15</v>
      </c>
      <c r="AD8" s="16" t="s">
        <v>15</v>
      </c>
      <c r="AE8" s="16" t="s">
        <v>15</v>
      </c>
      <c r="AF8" s="16" t="s">
        <v>15</v>
      </c>
      <c r="AG8" s="16" t="s">
        <v>15</v>
      </c>
      <c r="AH8" s="16" t="s">
        <v>15</v>
      </c>
      <c r="AI8" s="16" t="s">
        <v>15</v>
      </c>
      <c r="AJ8" s="16" t="s">
        <v>15</v>
      </c>
      <c r="AK8" s="16" t="s">
        <v>15</v>
      </c>
      <c r="AL8" s="16" t="s">
        <v>15</v>
      </c>
      <c r="AM8" s="16" t="s">
        <v>16</v>
      </c>
      <c r="AN8" s="16" t="s">
        <v>16</v>
      </c>
      <c r="AO8" s="16" t="s">
        <v>15</v>
      </c>
      <c r="AP8" s="16" t="s">
        <v>15</v>
      </c>
      <c r="AQ8" s="16" t="s">
        <v>15</v>
      </c>
      <c r="AR8" s="16" t="s">
        <v>15</v>
      </c>
      <c r="AS8" s="22">
        <f t="shared" si="2"/>
        <v>0.9</v>
      </c>
      <c r="AT8" s="16" t="s">
        <v>16</v>
      </c>
      <c r="AU8" s="16" t="s">
        <v>15</v>
      </c>
      <c r="AV8" s="16" t="s">
        <v>15</v>
      </c>
      <c r="AW8" s="16" t="s">
        <v>15</v>
      </c>
      <c r="AX8" s="16" t="s">
        <v>15</v>
      </c>
      <c r="AY8" s="16" t="s">
        <v>15</v>
      </c>
      <c r="AZ8" s="16" t="s">
        <v>15</v>
      </c>
      <c r="BA8" s="22">
        <f t="shared" si="3"/>
        <v>0.8571428571</v>
      </c>
      <c r="BB8" s="261" t="s">
        <v>15</v>
      </c>
      <c r="BC8" s="16" t="s">
        <v>15</v>
      </c>
      <c r="BD8" s="261" t="s">
        <v>15</v>
      </c>
      <c r="BE8" s="261" t="s">
        <v>16</v>
      </c>
      <c r="BF8" s="264" t="s">
        <v>15</v>
      </c>
      <c r="BG8" s="16" t="s">
        <v>15</v>
      </c>
      <c r="BH8" s="16" t="s">
        <v>16</v>
      </c>
      <c r="BI8" s="16" t="s">
        <v>15</v>
      </c>
      <c r="BJ8" s="16" t="s">
        <v>15</v>
      </c>
      <c r="BK8" s="262" t="s">
        <v>15</v>
      </c>
      <c r="BL8" s="16" t="s">
        <v>16</v>
      </c>
      <c r="BM8" s="16" t="s">
        <v>16</v>
      </c>
      <c r="BN8" s="16" t="s">
        <v>15</v>
      </c>
      <c r="BO8" s="261" t="s">
        <v>15</v>
      </c>
      <c r="BP8" s="261" t="s">
        <v>15</v>
      </c>
      <c r="BQ8" s="208" t="s">
        <v>15</v>
      </c>
      <c r="BR8" s="263" t="s">
        <v>15</v>
      </c>
      <c r="BS8" s="16" t="s">
        <v>15</v>
      </c>
      <c r="BT8" s="264" t="s">
        <v>16</v>
      </c>
      <c r="BU8" s="16" t="s">
        <v>15</v>
      </c>
      <c r="BV8" s="16" t="s">
        <v>16</v>
      </c>
      <c r="BW8" s="267" t="s">
        <v>15</v>
      </c>
      <c r="BX8" s="22">
        <f t="shared" si="4"/>
        <v>0.7272727273</v>
      </c>
      <c r="BY8" s="107" t="s">
        <v>15</v>
      </c>
    </row>
    <row r="9">
      <c r="A9" s="251">
        <v>5.0</v>
      </c>
      <c r="B9" s="62"/>
      <c r="C9" s="112" t="s">
        <v>41</v>
      </c>
      <c r="D9" s="16" t="s">
        <v>15</v>
      </c>
      <c r="E9" s="16" t="s">
        <v>15</v>
      </c>
      <c r="F9" s="16" t="s">
        <v>15</v>
      </c>
      <c r="G9" s="16" t="s">
        <v>15</v>
      </c>
      <c r="H9" s="16" t="s">
        <v>15</v>
      </c>
      <c r="I9" s="16" t="s">
        <v>15</v>
      </c>
      <c r="J9" s="16" t="s">
        <v>15</v>
      </c>
      <c r="K9" s="16" t="s">
        <v>15</v>
      </c>
      <c r="L9" s="16" t="s">
        <v>15</v>
      </c>
      <c r="M9" s="16" t="s">
        <v>16</v>
      </c>
      <c r="N9" s="16" t="s">
        <v>16</v>
      </c>
      <c r="O9" s="16" t="s">
        <v>15</v>
      </c>
      <c r="P9" s="16" t="s">
        <v>15</v>
      </c>
      <c r="Q9" s="16" t="s">
        <v>15</v>
      </c>
      <c r="R9" s="260" t="s">
        <v>15</v>
      </c>
      <c r="S9" s="29" t="s">
        <v>15</v>
      </c>
      <c r="T9" s="29" t="s">
        <v>15</v>
      </c>
      <c r="U9" s="29" t="s">
        <v>15</v>
      </c>
      <c r="V9" s="29" t="s">
        <v>15</v>
      </c>
      <c r="W9" s="29" t="s">
        <v>15</v>
      </c>
      <c r="X9" s="22">
        <f t="shared" si="1"/>
        <v>0.9</v>
      </c>
      <c r="Y9" s="16" t="s">
        <v>15</v>
      </c>
      <c r="Z9" s="16" t="s">
        <v>15</v>
      </c>
      <c r="AA9" s="16" t="s">
        <v>15</v>
      </c>
      <c r="AB9" s="16" t="s">
        <v>16</v>
      </c>
      <c r="AC9" s="16" t="s">
        <v>16</v>
      </c>
      <c r="AD9" s="16" t="s">
        <v>16</v>
      </c>
      <c r="AE9" s="16" t="s">
        <v>16</v>
      </c>
      <c r="AF9" s="16" t="s">
        <v>16</v>
      </c>
      <c r="AG9" s="16" t="s">
        <v>15</v>
      </c>
      <c r="AH9" s="16" t="s">
        <v>15</v>
      </c>
      <c r="AI9" s="16" t="s">
        <v>15</v>
      </c>
      <c r="AJ9" s="16" t="s">
        <v>15</v>
      </c>
      <c r="AK9" s="16" t="s">
        <v>15</v>
      </c>
      <c r="AL9" s="16" t="s">
        <v>15</v>
      </c>
      <c r="AM9" s="16" t="s">
        <v>15</v>
      </c>
      <c r="AN9" s="16" t="s">
        <v>15</v>
      </c>
      <c r="AO9" s="16" t="s">
        <v>15</v>
      </c>
      <c r="AP9" s="16" t="s">
        <v>15</v>
      </c>
      <c r="AQ9" s="16" t="s">
        <v>15</v>
      </c>
      <c r="AR9" s="16" t="s">
        <v>15</v>
      </c>
      <c r="AS9" s="22">
        <f t="shared" si="2"/>
        <v>0.75</v>
      </c>
      <c r="AT9" s="16" t="s">
        <v>16</v>
      </c>
      <c r="AU9" s="16" t="s">
        <v>15</v>
      </c>
      <c r="AV9" s="16" t="s">
        <v>15</v>
      </c>
      <c r="AW9" s="16" t="s">
        <v>15</v>
      </c>
      <c r="AX9" s="16" t="s">
        <v>15</v>
      </c>
      <c r="AY9" s="16" t="s">
        <v>15</v>
      </c>
      <c r="AZ9" s="16" t="s">
        <v>15</v>
      </c>
      <c r="BA9" s="22">
        <f t="shared" si="3"/>
        <v>0.8571428571</v>
      </c>
      <c r="BB9" s="261" t="s">
        <v>15</v>
      </c>
      <c r="BC9" s="16" t="s">
        <v>15</v>
      </c>
      <c r="BD9" s="261" t="s">
        <v>16</v>
      </c>
      <c r="BE9" s="261" t="s">
        <v>15</v>
      </c>
      <c r="BF9" s="261" t="s">
        <v>16</v>
      </c>
      <c r="BG9" s="16" t="s">
        <v>15</v>
      </c>
      <c r="BH9" s="16" t="s">
        <v>15</v>
      </c>
      <c r="BI9" s="16" t="s">
        <v>15</v>
      </c>
      <c r="BJ9" s="16" t="s">
        <v>15</v>
      </c>
      <c r="BK9" s="21" t="s">
        <v>16</v>
      </c>
      <c r="BL9" s="16" t="s">
        <v>15</v>
      </c>
      <c r="BM9" s="16" t="s">
        <v>15</v>
      </c>
      <c r="BN9" s="16" t="s">
        <v>16</v>
      </c>
      <c r="BO9" s="261" t="s">
        <v>15</v>
      </c>
      <c r="BP9" s="261" t="s">
        <v>15</v>
      </c>
      <c r="BQ9" s="208" t="s">
        <v>15</v>
      </c>
      <c r="BR9" s="263" t="s">
        <v>15</v>
      </c>
      <c r="BS9" s="16" t="s">
        <v>15</v>
      </c>
      <c r="BT9" s="264" t="s">
        <v>16</v>
      </c>
      <c r="BU9" s="16" t="s">
        <v>15</v>
      </c>
      <c r="BV9" s="16" t="s">
        <v>16</v>
      </c>
      <c r="BW9" s="267" t="s">
        <v>15</v>
      </c>
      <c r="BX9" s="22">
        <f t="shared" si="4"/>
        <v>0.7272727273</v>
      </c>
      <c r="BY9" s="107" t="s">
        <v>15</v>
      </c>
    </row>
    <row r="10">
      <c r="A10" s="206">
        <v>6.0</v>
      </c>
      <c r="B10" s="81"/>
      <c r="C10" s="58"/>
      <c r="D10" s="16" t="s">
        <v>16</v>
      </c>
      <c r="E10" s="16" t="s">
        <v>15</v>
      </c>
      <c r="F10" s="16" t="s">
        <v>15</v>
      </c>
      <c r="G10" s="16" t="s">
        <v>16</v>
      </c>
      <c r="H10" s="16" t="s">
        <v>16</v>
      </c>
      <c r="I10" s="16" t="s">
        <v>15</v>
      </c>
      <c r="J10" s="16" t="s">
        <v>15</v>
      </c>
      <c r="K10" s="16" t="s">
        <v>15</v>
      </c>
      <c r="L10" s="16" t="s">
        <v>16</v>
      </c>
      <c r="M10" s="16" t="s">
        <v>15</v>
      </c>
      <c r="N10" s="16" t="s">
        <v>15</v>
      </c>
      <c r="O10" s="16" t="s">
        <v>15</v>
      </c>
      <c r="P10" s="16" t="s">
        <v>16</v>
      </c>
      <c r="Q10" s="16" t="s">
        <v>15</v>
      </c>
      <c r="R10" s="260" t="s">
        <v>16</v>
      </c>
      <c r="S10" s="29" t="s">
        <v>15</v>
      </c>
      <c r="T10" s="29" t="s">
        <v>15</v>
      </c>
      <c r="U10" s="29" t="s">
        <v>16</v>
      </c>
      <c r="V10" s="29" t="s">
        <v>15</v>
      </c>
      <c r="W10" s="29" t="s">
        <v>16</v>
      </c>
      <c r="X10" s="22">
        <f t="shared" si="1"/>
        <v>0.6</v>
      </c>
      <c r="Y10" s="16" t="s">
        <v>16</v>
      </c>
      <c r="Z10" s="16" t="s">
        <v>15</v>
      </c>
      <c r="AA10" s="16" t="s">
        <v>16</v>
      </c>
      <c r="AB10" s="16" t="s">
        <v>15</v>
      </c>
      <c r="AC10" s="16" t="s">
        <v>16</v>
      </c>
      <c r="AD10" s="16" t="s">
        <v>15</v>
      </c>
      <c r="AE10" s="16" t="s">
        <v>15</v>
      </c>
      <c r="AF10" s="16" t="s">
        <v>16</v>
      </c>
      <c r="AG10" s="16" t="s">
        <v>16</v>
      </c>
      <c r="AH10" s="16" t="s">
        <v>15</v>
      </c>
      <c r="AI10" s="16" t="s">
        <v>16</v>
      </c>
      <c r="AJ10" s="16" t="s">
        <v>15</v>
      </c>
      <c r="AK10" s="16" t="s">
        <v>16</v>
      </c>
      <c r="AL10" s="16" t="s">
        <v>15</v>
      </c>
      <c r="AM10" s="16" t="s">
        <v>15</v>
      </c>
      <c r="AN10" s="16" t="s">
        <v>16</v>
      </c>
      <c r="AO10" s="16" t="s">
        <v>15</v>
      </c>
      <c r="AP10" s="16" t="s">
        <v>15</v>
      </c>
      <c r="AQ10" s="16" t="s">
        <v>16</v>
      </c>
      <c r="AR10" s="16" t="s">
        <v>16</v>
      </c>
      <c r="AS10" s="22">
        <f t="shared" si="2"/>
        <v>0.5</v>
      </c>
      <c r="AT10" s="16" t="s">
        <v>15</v>
      </c>
      <c r="AU10" s="16" t="s">
        <v>15</v>
      </c>
      <c r="AV10" s="16" t="s">
        <v>15</v>
      </c>
      <c r="AW10" s="16" t="s">
        <v>16</v>
      </c>
      <c r="AX10" s="16" t="s">
        <v>15</v>
      </c>
      <c r="AY10" s="16" t="s">
        <v>15</v>
      </c>
      <c r="AZ10" s="16" t="s">
        <v>16</v>
      </c>
      <c r="BA10" s="22">
        <f t="shared" si="3"/>
        <v>0.7142857143</v>
      </c>
      <c r="BB10" s="261" t="s">
        <v>15</v>
      </c>
      <c r="BC10" s="16" t="s">
        <v>15</v>
      </c>
      <c r="BD10" s="261" t="s">
        <v>15</v>
      </c>
      <c r="BE10" s="261" t="s">
        <v>16</v>
      </c>
      <c r="BF10" s="261" t="s">
        <v>16</v>
      </c>
      <c r="BG10" s="16" t="s">
        <v>15</v>
      </c>
      <c r="BH10" s="16" t="s">
        <v>16</v>
      </c>
      <c r="BI10" s="16" t="s">
        <v>15</v>
      </c>
      <c r="BJ10" s="16" t="s">
        <v>16</v>
      </c>
      <c r="BK10" s="262" t="s">
        <v>15</v>
      </c>
      <c r="BL10" s="16" t="s">
        <v>16</v>
      </c>
      <c r="BM10" s="16" t="s">
        <v>15</v>
      </c>
      <c r="BN10" s="16" t="s">
        <v>16</v>
      </c>
      <c r="BO10" s="261" t="s">
        <v>15</v>
      </c>
      <c r="BP10" s="261" t="s">
        <v>15</v>
      </c>
      <c r="BQ10" s="208" t="s">
        <v>15</v>
      </c>
      <c r="BR10" s="268" t="s">
        <v>15</v>
      </c>
      <c r="BS10" s="16" t="s">
        <v>15</v>
      </c>
      <c r="BT10" s="264" t="s">
        <v>16</v>
      </c>
      <c r="BU10" s="16" t="s">
        <v>15</v>
      </c>
      <c r="BV10" s="16" t="s">
        <v>15</v>
      </c>
      <c r="BW10" s="267" t="s">
        <v>15</v>
      </c>
      <c r="BX10" s="22">
        <f t="shared" si="4"/>
        <v>0.6818181818</v>
      </c>
      <c r="BY10" s="107" t="s">
        <v>15</v>
      </c>
    </row>
    <row r="11">
      <c r="A11" s="206">
        <v>7.0</v>
      </c>
      <c r="B11" s="62"/>
      <c r="C11" s="58"/>
      <c r="D11" s="16" t="s">
        <v>16</v>
      </c>
      <c r="E11" s="16" t="s">
        <v>15</v>
      </c>
      <c r="F11" s="16" t="s">
        <v>15</v>
      </c>
      <c r="G11" s="16" t="s">
        <v>15</v>
      </c>
      <c r="H11" s="16" t="s">
        <v>16</v>
      </c>
      <c r="I11" s="16" t="s">
        <v>15</v>
      </c>
      <c r="J11" s="16" t="s">
        <v>15</v>
      </c>
      <c r="K11" s="16" t="s">
        <v>15</v>
      </c>
      <c r="L11" s="16" t="s">
        <v>15</v>
      </c>
      <c r="M11" s="16" t="s">
        <v>15</v>
      </c>
      <c r="N11" s="16" t="s">
        <v>15</v>
      </c>
      <c r="O11" s="16" t="s">
        <v>15</v>
      </c>
      <c r="P11" s="16" t="s">
        <v>15</v>
      </c>
      <c r="Q11" s="16" t="s">
        <v>15</v>
      </c>
      <c r="R11" s="260" t="s">
        <v>16</v>
      </c>
      <c r="S11" s="29" t="s">
        <v>15</v>
      </c>
      <c r="T11" s="29" t="s">
        <v>15</v>
      </c>
      <c r="U11" s="29" t="s">
        <v>15</v>
      </c>
      <c r="V11" s="29" t="s">
        <v>15</v>
      </c>
      <c r="W11" s="29" t="s">
        <v>15</v>
      </c>
      <c r="X11" s="22">
        <f t="shared" si="1"/>
        <v>0.85</v>
      </c>
      <c r="Y11" s="16" t="s">
        <v>15</v>
      </c>
      <c r="Z11" s="16" t="s">
        <v>15</v>
      </c>
      <c r="AA11" s="16" t="s">
        <v>15</v>
      </c>
      <c r="AB11" s="16" t="s">
        <v>15</v>
      </c>
      <c r="AC11" s="16" t="s">
        <v>15</v>
      </c>
      <c r="AD11" s="16" t="s">
        <v>15</v>
      </c>
      <c r="AE11" s="16" t="s">
        <v>15</v>
      </c>
      <c r="AF11" s="16" t="s">
        <v>15</v>
      </c>
      <c r="AG11" s="16" t="s">
        <v>15</v>
      </c>
      <c r="AH11" s="16" t="s">
        <v>15</v>
      </c>
      <c r="AI11" s="16" t="s">
        <v>15</v>
      </c>
      <c r="AJ11" s="16" t="s">
        <v>15</v>
      </c>
      <c r="AK11" s="16" t="s">
        <v>15</v>
      </c>
      <c r="AL11" s="16" t="s">
        <v>15</v>
      </c>
      <c r="AM11" s="16" t="s">
        <v>15</v>
      </c>
      <c r="AN11" s="16" t="s">
        <v>15</v>
      </c>
      <c r="AO11" s="16" t="s">
        <v>15</v>
      </c>
      <c r="AP11" s="16" t="s">
        <v>15</v>
      </c>
      <c r="AQ11" s="16" t="s">
        <v>15</v>
      </c>
      <c r="AR11" s="16" t="s">
        <v>15</v>
      </c>
      <c r="AS11" s="22">
        <f t="shared" si="2"/>
        <v>1</v>
      </c>
      <c r="AT11" s="16" t="s">
        <v>15</v>
      </c>
      <c r="AU11" s="16" t="s">
        <v>15</v>
      </c>
      <c r="AV11" s="16" t="s">
        <v>15</v>
      </c>
      <c r="AW11" s="16" t="s">
        <v>15</v>
      </c>
      <c r="AX11" s="16" t="s">
        <v>15</v>
      </c>
      <c r="AY11" s="16" t="s">
        <v>15</v>
      </c>
      <c r="AZ11" s="16" t="s">
        <v>15</v>
      </c>
      <c r="BA11" s="22">
        <f t="shared" si="3"/>
        <v>1</v>
      </c>
      <c r="BB11" s="261" t="s">
        <v>15</v>
      </c>
      <c r="BC11" s="16" t="s">
        <v>15</v>
      </c>
      <c r="BD11" s="261" t="s">
        <v>15</v>
      </c>
      <c r="BE11" s="261" t="s">
        <v>16</v>
      </c>
      <c r="BF11" s="264" t="s">
        <v>15</v>
      </c>
      <c r="BG11" s="16" t="s">
        <v>15</v>
      </c>
      <c r="BH11" s="16" t="s">
        <v>15</v>
      </c>
      <c r="BI11" s="16" t="s">
        <v>15</v>
      </c>
      <c r="BJ11" s="16" t="s">
        <v>15</v>
      </c>
      <c r="BK11" s="262" t="s">
        <v>15</v>
      </c>
      <c r="BL11" s="16" t="s">
        <v>15</v>
      </c>
      <c r="BM11" s="16" t="s">
        <v>15</v>
      </c>
      <c r="BN11" s="16" t="s">
        <v>15</v>
      </c>
      <c r="BO11" s="261" t="s">
        <v>15</v>
      </c>
      <c r="BP11" s="261" t="s">
        <v>15</v>
      </c>
      <c r="BQ11" s="208" t="s">
        <v>15</v>
      </c>
      <c r="BR11" s="263" t="s">
        <v>15</v>
      </c>
      <c r="BS11" s="16" t="s">
        <v>15</v>
      </c>
      <c r="BT11" s="264" t="s">
        <v>16</v>
      </c>
      <c r="BU11" s="16" t="s">
        <v>15</v>
      </c>
      <c r="BV11" s="16" t="s">
        <v>16</v>
      </c>
      <c r="BW11" s="265" t="s">
        <v>15</v>
      </c>
      <c r="BX11" s="22">
        <f t="shared" si="4"/>
        <v>0.8636363636</v>
      </c>
      <c r="BY11" s="107" t="s">
        <v>15</v>
      </c>
    </row>
    <row r="12">
      <c r="A12" s="206">
        <v>8.0</v>
      </c>
      <c r="B12" s="55"/>
      <c r="C12" s="58"/>
      <c r="D12" s="16" t="s">
        <v>15</v>
      </c>
      <c r="E12" s="16" t="s">
        <v>16</v>
      </c>
      <c r="F12" s="16" t="s">
        <v>15</v>
      </c>
      <c r="G12" s="16" t="s">
        <v>15</v>
      </c>
      <c r="H12" s="16" t="s">
        <v>16</v>
      </c>
      <c r="I12" s="16" t="s">
        <v>16</v>
      </c>
      <c r="J12" s="16" t="s">
        <v>15</v>
      </c>
      <c r="K12" s="16" t="s">
        <v>16</v>
      </c>
      <c r="L12" s="16" t="s">
        <v>15</v>
      </c>
      <c r="M12" s="16" t="s">
        <v>16</v>
      </c>
      <c r="N12" s="16" t="s">
        <v>16</v>
      </c>
      <c r="O12" s="16" t="s">
        <v>15</v>
      </c>
      <c r="P12" s="16" t="s">
        <v>15</v>
      </c>
      <c r="Q12" s="16" t="s">
        <v>16</v>
      </c>
      <c r="R12" s="260" t="s">
        <v>16</v>
      </c>
      <c r="S12" s="29" t="s">
        <v>15</v>
      </c>
      <c r="T12" s="29" t="s">
        <v>16</v>
      </c>
      <c r="U12" s="29" t="s">
        <v>15</v>
      </c>
      <c r="V12" s="29" t="s">
        <v>16</v>
      </c>
      <c r="W12" s="29" t="s">
        <v>16</v>
      </c>
      <c r="X12" s="22">
        <f t="shared" si="1"/>
        <v>0.45</v>
      </c>
      <c r="Y12" s="16" t="s">
        <v>15</v>
      </c>
      <c r="Z12" s="16" t="s">
        <v>15</v>
      </c>
      <c r="AA12" s="16" t="s">
        <v>16</v>
      </c>
      <c r="AB12" s="16" t="s">
        <v>16</v>
      </c>
      <c r="AC12" s="16" t="s">
        <v>16</v>
      </c>
      <c r="AD12" s="16" t="s">
        <v>16</v>
      </c>
      <c r="AE12" s="16" t="s">
        <v>16</v>
      </c>
      <c r="AF12" s="16" t="s">
        <v>16</v>
      </c>
      <c r="AG12" s="16" t="s">
        <v>16</v>
      </c>
      <c r="AH12" s="16" t="s">
        <v>15</v>
      </c>
      <c r="AI12" s="16" t="s">
        <v>16</v>
      </c>
      <c r="AJ12" s="16" t="s">
        <v>16</v>
      </c>
      <c r="AK12" s="16" t="s">
        <v>16</v>
      </c>
      <c r="AL12" s="16" t="s">
        <v>16</v>
      </c>
      <c r="AM12" s="16" t="s">
        <v>15</v>
      </c>
      <c r="AN12" s="16" t="s">
        <v>16</v>
      </c>
      <c r="AO12" s="16" t="s">
        <v>16</v>
      </c>
      <c r="AP12" s="16" t="s">
        <v>15</v>
      </c>
      <c r="AQ12" s="16" t="s">
        <v>15</v>
      </c>
      <c r="AR12" s="16" t="s">
        <v>16</v>
      </c>
      <c r="AS12" s="22">
        <f t="shared" si="2"/>
        <v>0.3</v>
      </c>
      <c r="AT12" s="16" t="s">
        <v>16</v>
      </c>
      <c r="AU12" s="16" t="s">
        <v>15</v>
      </c>
      <c r="AV12" s="16" t="s">
        <v>15</v>
      </c>
      <c r="AW12" s="16" t="s">
        <v>16</v>
      </c>
      <c r="AX12" s="16" t="s">
        <v>16</v>
      </c>
      <c r="AY12" s="16" t="s">
        <v>16</v>
      </c>
      <c r="AZ12" s="16" t="s">
        <v>16</v>
      </c>
      <c r="BA12" s="22">
        <f t="shared" si="3"/>
        <v>0.2857142857</v>
      </c>
      <c r="BB12" s="261" t="s">
        <v>15</v>
      </c>
      <c r="BC12" s="16" t="s">
        <v>16</v>
      </c>
      <c r="BD12" s="261" t="s">
        <v>16</v>
      </c>
      <c r="BE12" s="261" t="s">
        <v>16</v>
      </c>
      <c r="BF12" s="261" t="s">
        <v>16</v>
      </c>
      <c r="BG12" s="16" t="s">
        <v>15</v>
      </c>
      <c r="BH12" s="16" t="s">
        <v>16</v>
      </c>
      <c r="BI12" s="16" t="s">
        <v>15</v>
      </c>
      <c r="BJ12" s="16" t="s">
        <v>15</v>
      </c>
      <c r="BK12" s="21" t="s">
        <v>16</v>
      </c>
      <c r="BL12" s="16" t="s">
        <v>16</v>
      </c>
      <c r="BM12" s="16" t="s">
        <v>16</v>
      </c>
      <c r="BN12" s="16" t="s">
        <v>16</v>
      </c>
      <c r="BO12" s="261" t="s">
        <v>16</v>
      </c>
      <c r="BP12" s="261" t="s">
        <v>16</v>
      </c>
      <c r="BQ12" s="208" t="s">
        <v>16</v>
      </c>
      <c r="BR12" s="263" t="s">
        <v>16</v>
      </c>
      <c r="BS12" s="16" t="s">
        <v>16</v>
      </c>
      <c r="BT12" s="261" t="s">
        <v>16</v>
      </c>
      <c r="BU12" s="16" t="s">
        <v>16</v>
      </c>
      <c r="BV12" s="16" t="s">
        <v>16</v>
      </c>
      <c r="BW12" s="269" t="s">
        <v>16</v>
      </c>
      <c r="BX12" s="22">
        <f t="shared" si="4"/>
        <v>0.1818181818</v>
      </c>
      <c r="BY12" s="107" t="s">
        <v>16</v>
      </c>
    </row>
    <row r="13">
      <c r="A13" s="206">
        <v>9.0</v>
      </c>
      <c r="B13" s="81"/>
      <c r="C13" s="153"/>
      <c r="D13" s="16" t="s">
        <v>16</v>
      </c>
      <c r="E13" s="16" t="s">
        <v>15</v>
      </c>
      <c r="F13" s="16" t="s">
        <v>15</v>
      </c>
      <c r="G13" s="16" t="s">
        <v>15</v>
      </c>
      <c r="H13" s="16" t="s">
        <v>15</v>
      </c>
      <c r="I13" s="16" t="s">
        <v>16</v>
      </c>
      <c r="J13" s="16" t="s">
        <v>15</v>
      </c>
      <c r="K13" s="16" t="s">
        <v>15</v>
      </c>
      <c r="L13" s="16" t="s">
        <v>15</v>
      </c>
      <c r="M13" s="16" t="s">
        <v>15</v>
      </c>
      <c r="N13" s="16" t="s">
        <v>15</v>
      </c>
      <c r="O13" s="16" t="s">
        <v>15</v>
      </c>
      <c r="P13" s="16" t="s">
        <v>15</v>
      </c>
      <c r="Q13" s="16" t="s">
        <v>16</v>
      </c>
      <c r="R13" s="260" t="s">
        <v>16</v>
      </c>
      <c r="S13" s="29" t="s">
        <v>15</v>
      </c>
      <c r="T13" s="29" t="s">
        <v>15</v>
      </c>
      <c r="U13" s="29" t="s">
        <v>15</v>
      </c>
      <c r="V13" s="29" t="s">
        <v>15</v>
      </c>
      <c r="W13" s="29" t="s">
        <v>15</v>
      </c>
      <c r="X13" s="22">
        <f t="shared" si="1"/>
        <v>0.8</v>
      </c>
      <c r="Y13" s="16" t="s">
        <v>15</v>
      </c>
      <c r="Z13" s="16" t="s">
        <v>15</v>
      </c>
      <c r="AA13" s="16" t="s">
        <v>16</v>
      </c>
      <c r="AB13" s="16" t="s">
        <v>15</v>
      </c>
      <c r="AC13" s="16" t="s">
        <v>15</v>
      </c>
      <c r="AD13" s="16" t="s">
        <v>15</v>
      </c>
      <c r="AE13" s="16" t="s">
        <v>16</v>
      </c>
      <c r="AF13" s="16" t="s">
        <v>15</v>
      </c>
      <c r="AG13" s="16" t="s">
        <v>16</v>
      </c>
      <c r="AH13" s="16" t="s">
        <v>15</v>
      </c>
      <c r="AI13" s="16" t="s">
        <v>15</v>
      </c>
      <c r="AJ13" s="16" t="s">
        <v>15</v>
      </c>
      <c r="AK13" s="16" t="s">
        <v>16</v>
      </c>
      <c r="AL13" s="16" t="s">
        <v>15</v>
      </c>
      <c r="AM13" s="16" t="s">
        <v>15</v>
      </c>
      <c r="AN13" s="16" t="s">
        <v>16</v>
      </c>
      <c r="AO13" s="16" t="s">
        <v>15</v>
      </c>
      <c r="AP13" s="16" t="s">
        <v>15</v>
      </c>
      <c r="AQ13" s="16" t="s">
        <v>16</v>
      </c>
      <c r="AR13" s="16" t="s">
        <v>16</v>
      </c>
      <c r="AS13" s="22">
        <f t="shared" si="2"/>
        <v>0.65</v>
      </c>
      <c r="AT13" s="16" t="s">
        <v>16</v>
      </c>
      <c r="AU13" s="16" t="s">
        <v>15</v>
      </c>
      <c r="AV13" s="16" t="s">
        <v>15</v>
      </c>
      <c r="AW13" s="16" t="s">
        <v>15</v>
      </c>
      <c r="AX13" s="16" t="s">
        <v>15</v>
      </c>
      <c r="AY13" s="16" t="s">
        <v>15</v>
      </c>
      <c r="AZ13" s="16" t="s">
        <v>16</v>
      </c>
      <c r="BA13" s="22">
        <f t="shared" si="3"/>
        <v>0.7142857143</v>
      </c>
      <c r="BB13" s="261" t="s">
        <v>15</v>
      </c>
      <c r="BC13" s="16" t="s">
        <v>15</v>
      </c>
      <c r="BD13" s="261" t="s">
        <v>15</v>
      </c>
      <c r="BE13" s="261" t="s">
        <v>16</v>
      </c>
      <c r="BF13" s="261" t="s">
        <v>16</v>
      </c>
      <c r="BG13" s="16" t="s">
        <v>15</v>
      </c>
      <c r="BH13" s="16" t="s">
        <v>16</v>
      </c>
      <c r="BI13" s="16" t="s">
        <v>15</v>
      </c>
      <c r="BJ13" s="16" t="s">
        <v>15</v>
      </c>
      <c r="BK13" s="262" t="s">
        <v>15</v>
      </c>
      <c r="BL13" s="16" t="s">
        <v>15</v>
      </c>
      <c r="BM13" s="16" t="s">
        <v>15</v>
      </c>
      <c r="BN13" s="16" t="s">
        <v>16</v>
      </c>
      <c r="BO13" s="261" t="s">
        <v>15</v>
      </c>
      <c r="BP13" s="261" t="s">
        <v>15</v>
      </c>
      <c r="BQ13" s="208" t="s">
        <v>15</v>
      </c>
      <c r="BR13" s="263" t="s">
        <v>15</v>
      </c>
      <c r="BS13" s="16" t="s">
        <v>16</v>
      </c>
      <c r="BT13" s="264" t="s">
        <v>16</v>
      </c>
      <c r="BU13" s="16" t="s">
        <v>15</v>
      </c>
      <c r="BV13" s="16" t="s">
        <v>15</v>
      </c>
      <c r="BW13" s="267" t="s">
        <v>15</v>
      </c>
      <c r="BX13" s="22">
        <f t="shared" si="4"/>
        <v>0.7272727273</v>
      </c>
      <c r="BY13" s="107" t="s">
        <v>15</v>
      </c>
    </row>
    <row r="14">
      <c r="A14" s="206">
        <v>10.0</v>
      </c>
      <c r="B14" s="62"/>
      <c r="C14" s="26"/>
      <c r="D14" s="16" t="s">
        <v>16</v>
      </c>
      <c r="E14" s="16" t="s">
        <v>16</v>
      </c>
      <c r="F14" s="16" t="s">
        <v>15</v>
      </c>
      <c r="G14" s="16" t="s">
        <v>16</v>
      </c>
      <c r="H14" s="16" t="s">
        <v>16</v>
      </c>
      <c r="I14" s="16" t="s">
        <v>16</v>
      </c>
      <c r="J14" s="16" t="s">
        <v>15</v>
      </c>
      <c r="K14" s="16" t="s">
        <v>15</v>
      </c>
      <c r="L14" s="16" t="s">
        <v>15</v>
      </c>
      <c r="M14" s="16" t="s">
        <v>15</v>
      </c>
      <c r="N14" s="16" t="s">
        <v>16</v>
      </c>
      <c r="O14" s="16" t="s">
        <v>15</v>
      </c>
      <c r="P14" s="16" t="s">
        <v>16</v>
      </c>
      <c r="Q14" s="16" t="s">
        <v>16</v>
      </c>
      <c r="R14" s="260" t="s">
        <v>15</v>
      </c>
      <c r="S14" s="29" t="s">
        <v>16</v>
      </c>
      <c r="T14" s="29" t="s">
        <v>16</v>
      </c>
      <c r="U14" s="29" t="s">
        <v>15</v>
      </c>
      <c r="V14" s="29" t="s">
        <v>16</v>
      </c>
      <c r="W14" s="29" t="s">
        <v>16</v>
      </c>
      <c r="X14" s="22">
        <f t="shared" si="1"/>
        <v>0.4</v>
      </c>
      <c r="Y14" s="16" t="s">
        <v>16</v>
      </c>
      <c r="Z14" s="16" t="s">
        <v>15</v>
      </c>
      <c r="AA14" s="16" t="s">
        <v>16</v>
      </c>
      <c r="AB14" s="16" t="s">
        <v>15</v>
      </c>
      <c r="AC14" s="16" t="s">
        <v>16</v>
      </c>
      <c r="AD14" s="16" t="s">
        <v>16</v>
      </c>
      <c r="AE14" s="16" t="s">
        <v>15</v>
      </c>
      <c r="AF14" s="16" t="s">
        <v>16</v>
      </c>
      <c r="AG14" s="16" t="s">
        <v>15</v>
      </c>
      <c r="AH14" s="16" t="s">
        <v>16</v>
      </c>
      <c r="AI14" s="16" t="s">
        <v>15</v>
      </c>
      <c r="AJ14" s="16" t="s">
        <v>15</v>
      </c>
      <c r="AK14" s="16" t="s">
        <v>15</v>
      </c>
      <c r="AL14" s="16" t="s">
        <v>15</v>
      </c>
      <c r="AM14" s="16" t="s">
        <v>15</v>
      </c>
      <c r="AN14" s="16" t="s">
        <v>16</v>
      </c>
      <c r="AO14" s="16" t="s">
        <v>15</v>
      </c>
      <c r="AP14" s="16" t="s">
        <v>16</v>
      </c>
      <c r="AQ14" s="16" t="s">
        <v>16</v>
      </c>
      <c r="AR14" s="16" t="s">
        <v>16</v>
      </c>
      <c r="AS14" s="22">
        <f t="shared" si="2"/>
        <v>0.5</v>
      </c>
      <c r="AT14" s="16" t="s">
        <v>15</v>
      </c>
      <c r="AU14" s="16" t="s">
        <v>15</v>
      </c>
      <c r="AV14" s="16" t="s">
        <v>15</v>
      </c>
      <c r="AW14" s="16" t="s">
        <v>16</v>
      </c>
      <c r="AX14" s="16" t="s">
        <v>15</v>
      </c>
      <c r="AY14" s="16" t="s">
        <v>16</v>
      </c>
      <c r="AZ14" s="16" t="s">
        <v>16</v>
      </c>
      <c r="BA14" s="22">
        <f t="shared" si="3"/>
        <v>0.5714285714</v>
      </c>
      <c r="BB14" s="261" t="s">
        <v>16</v>
      </c>
      <c r="BC14" s="16" t="s">
        <v>16</v>
      </c>
      <c r="BD14" s="261" t="s">
        <v>15</v>
      </c>
      <c r="BE14" s="261" t="s">
        <v>16</v>
      </c>
      <c r="BF14" s="261" t="s">
        <v>16</v>
      </c>
      <c r="BG14" s="16" t="s">
        <v>15</v>
      </c>
      <c r="BH14" s="16" t="s">
        <v>16</v>
      </c>
      <c r="BI14" s="16" t="s">
        <v>15</v>
      </c>
      <c r="BJ14" s="16" t="s">
        <v>15</v>
      </c>
      <c r="BK14" s="21" t="s">
        <v>16</v>
      </c>
      <c r="BL14" s="16" t="s">
        <v>16</v>
      </c>
      <c r="BM14" s="16" t="s">
        <v>15</v>
      </c>
      <c r="BN14" s="16" t="s">
        <v>15</v>
      </c>
      <c r="BO14" s="261" t="s">
        <v>15</v>
      </c>
      <c r="BP14" s="261" t="s">
        <v>16</v>
      </c>
      <c r="BQ14" s="208" t="s">
        <v>15</v>
      </c>
      <c r="BR14" s="263" t="s">
        <v>15</v>
      </c>
      <c r="BS14" s="16" t="s">
        <v>15</v>
      </c>
      <c r="BT14" s="264" t="s">
        <v>16</v>
      </c>
      <c r="BU14" s="16" t="s">
        <v>15</v>
      </c>
      <c r="BV14" s="16" t="s">
        <v>16</v>
      </c>
      <c r="BW14" s="269" t="s">
        <v>16</v>
      </c>
      <c r="BX14" s="22">
        <f t="shared" si="4"/>
        <v>0.5</v>
      </c>
      <c r="BY14" s="107" t="s">
        <v>16</v>
      </c>
    </row>
    <row r="15">
      <c r="A15" s="206">
        <v>11.0</v>
      </c>
      <c r="B15" s="91"/>
      <c r="C15" s="58"/>
      <c r="D15" s="16" t="s">
        <v>16</v>
      </c>
      <c r="E15" s="16" t="s">
        <v>15</v>
      </c>
      <c r="F15" s="16" t="s">
        <v>15</v>
      </c>
      <c r="G15" s="16" t="s">
        <v>16</v>
      </c>
      <c r="H15" s="16" t="s">
        <v>15</v>
      </c>
      <c r="I15" s="16" t="s">
        <v>15</v>
      </c>
      <c r="J15" s="16" t="s">
        <v>15</v>
      </c>
      <c r="K15" s="16" t="s">
        <v>15</v>
      </c>
      <c r="L15" s="16" t="s">
        <v>15</v>
      </c>
      <c r="M15" s="16" t="s">
        <v>16</v>
      </c>
      <c r="N15" s="16" t="s">
        <v>16</v>
      </c>
      <c r="O15" s="16" t="s">
        <v>15</v>
      </c>
      <c r="P15" s="16" t="s">
        <v>15</v>
      </c>
      <c r="Q15" s="16" t="s">
        <v>16</v>
      </c>
      <c r="R15" s="260" t="s">
        <v>15</v>
      </c>
      <c r="S15" s="29" t="s">
        <v>15</v>
      </c>
      <c r="T15" s="29" t="s">
        <v>15</v>
      </c>
      <c r="U15" s="29" t="s">
        <v>15</v>
      </c>
      <c r="V15" s="29" t="s">
        <v>16</v>
      </c>
      <c r="W15" s="29" t="s">
        <v>15</v>
      </c>
      <c r="X15" s="22">
        <f t="shared" si="1"/>
        <v>0.7</v>
      </c>
      <c r="Y15" s="16" t="s">
        <v>16</v>
      </c>
      <c r="Z15" s="16" t="s">
        <v>15</v>
      </c>
      <c r="AA15" s="16" t="s">
        <v>15</v>
      </c>
      <c r="AB15" s="16" t="s">
        <v>15</v>
      </c>
      <c r="AC15" s="16" t="s">
        <v>15</v>
      </c>
      <c r="AD15" s="16" t="s">
        <v>15</v>
      </c>
      <c r="AE15" s="16" t="s">
        <v>15</v>
      </c>
      <c r="AF15" s="16" t="s">
        <v>15</v>
      </c>
      <c r="AG15" s="16" t="s">
        <v>15</v>
      </c>
      <c r="AH15" s="16" t="s">
        <v>16</v>
      </c>
      <c r="AI15" s="16" t="s">
        <v>15</v>
      </c>
      <c r="AJ15" s="16" t="s">
        <v>15</v>
      </c>
      <c r="AK15" s="16" t="s">
        <v>15</v>
      </c>
      <c r="AL15" s="16" t="s">
        <v>16</v>
      </c>
      <c r="AM15" s="16" t="s">
        <v>15</v>
      </c>
      <c r="AN15" s="16" t="s">
        <v>15</v>
      </c>
      <c r="AO15" s="16" t="s">
        <v>15</v>
      </c>
      <c r="AP15" s="16" t="s">
        <v>16</v>
      </c>
      <c r="AQ15" s="16" t="s">
        <v>15</v>
      </c>
      <c r="AR15" s="16" t="s">
        <v>15</v>
      </c>
      <c r="AS15" s="22">
        <f t="shared" si="2"/>
        <v>0.8</v>
      </c>
      <c r="AT15" s="16" t="s">
        <v>15</v>
      </c>
      <c r="AU15" s="16" t="s">
        <v>15</v>
      </c>
      <c r="AV15" s="16" t="s">
        <v>15</v>
      </c>
      <c r="AW15" s="16" t="s">
        <v>16</v>
      </c>
      <c r="AX15" s="16" t="s">
        <v>15</v>
      </c>
      <c r="AY15" s="16" t="s">
        <v>15</v>
      </c>
      <c r="AZ15" s="16" t="s">
        <v>15</v>
      </c>
      <c r="BA15" s="22">
        <f t="shared" si="3"/>
        <v>0.8571428571</v>
      </c>
      <c r="BB15" s="261" t="s">
        <v>16</v>
      </c>
      <c r="BC15" s="16" t="s">
        <v>16</v>
      </c>
      <c r="BD15" s="261" t="s">
        <v>16</v>
      </c>
      <c r="BE15" s="261" t="s">
        <v>16</v>
      </c>
      <c r="BF15" s="261" t="s">
        <v>16</v>
      </c>
      <c r="BG15" s="16" t="s">
        <v>16</v>
      </c>
      <c r="BH15" s="16" t="s">
        <v>16</v>
      </c>
      <c r="BI15" s="16" t="s">
        <v>16</v>
      </c>
      <c r="BJ15" s="16" t="s">
        <v>16</v>
      </c>
      <c r="BK15" s="21" t="s">
        <v>16</v>
      </c>
      <c r="BL15" s="16" t="s">
        <v>15</v>
      </c>
      <c r="BM15" s="16" t="s">
        <v>16</v>
      </c>
      <c r="BN15" s="16" t="s">
        <v>16</v>
      </c>
      <c r="BO15" s="261" t="s">
        <v>16</v>
      </c>
      <c r="BP15" s="261" t="s">
        <v>16</v>
      </c>
      <c r="BQ15" s="208" t="s">
        <v>16</v>
      </c>
      <c r="BR15" s="263" t="s">
        <v>15</v>
      </c>
      <c r="BS15" s="16" t="s">
        <v>15</v>
      </c>
      <c r="BT15" s="261" t="s">
        <v>15</v>
      </c>
      <c r="BU15" s="16" t="s">
        <v>15</v>
      </c>
      <c r="BV15" s="16" t="s">
        <v>15</v>
      </c>
      <c r="BW15" s="267" t="s">
        <v>15</v>
      </c>
      <c r="BX15" s="22">
        <f t="shared" si="4"/>
        <v>0.3181818182</v>
      </c>
      <c r="BY15" s="107" t="s">
        <v>15</v>
      </c>
    </row>
    <row r="16">
      <c r="A16" s="123">
        <v>12.0</v>
      </c>
      <c r="B16" s="270"/>
      <c r="C16" s="37" t="s">
        <v>68</v>
      </c>
      <c r="D16" s="271" t="s">
        <v>20</v>
      </c>
      <c r="E16" s="271" t="s">
        <v>20</v>
      </c>
      <c r="F16" s="271" t="s">
        <v>20</v>
      </c>
      <c r="G16" s="271" t="s">
        <v>20</v>
      </c>
      <c r="H16" s="271" t="s">
        <v>20</v>
      </c>
      <c r="I16" s="214" t="s">
        <v>20</v>
      </c>
      <c r="J16" s="214" t="s">
        <v>20</v>
      </c>
      <c r="K16" s="271" t="s">
        <v>20</v>
      </c>
      <c r="L16" s="271" t="s">
        <v>20</v>
      </c>
      <c r="M16" s="214" t="s">
        <v>20</v>
      </c>
      <c r="N16" s="214" t="s">
        <v>20</v>
      </c>
      <c r="O16" s="214" t="s">
        <v>20</v>
      </c>
      <c r="P16" s="214" t="s">
        <v>20</v>
      </c>
      <c r="Q16" s="214" t="s">
        <v>20</v>
      </c>
      <c r="R16" s="272" t="s">
        <v>20</v>
      </c>
      <c r="S16" s="272" t="s">
        <v>20</v>
      </c>
      <c r="T16" s="272" t="s">
        <v>20</v>
      </c>
      <c r="U16" s="272" t="s">
        <v>20</v>
      </c>
      <c r="V16" s="272" t="s">
        <v>20</v>
      </c>
      <c r="W16" s="273" t="s">
        <v>20</v>
      </c>
      <c r="X16" s="48" t="str">
        <f t="shared" si="1"/>
        <v>0,00%</v>
      </c>
      <c r="Y16" s="214" t="s">
        <v>20</v>
      </c>
      <c r="Z16" s="214" t="s">
        <v>20</v>
      </c>
      <c r="AA16" s="214" t="s">
        <v>20</v>
      </c>
      <c r="AB16" s="214" t="s">
        <v>20</v>
      </c>
      <c r="AC16" s="214" t="s">
        <v>20</v>
      </c>
      <c r="AD16" s="271" t="s">
        <v>20</v>
      </c>
      <c r="AE16" s="214" t="s">
        <v>20</v>
      </c>
      <c r="AF16" s="271" t="s">
        <v>20</v>
      </c>
      <c r="AG16" s="271" t="s">
        <v>20</v>
      </c>
      <c r="AH16" s="214" t="s">
        <v>20</v>
      </c>
      <c r="AI16" s="214" t="s">
        <v>20</v>
      </c>
      <c r="AJ16" s="271" t="s">
        <v>20</v>
      </c>
      <c r="AK16" s="214" t="s">
        <v>20</v>
      </c>
      <c r="AL16" s="214" t="s">
        <v>20</v>
      </c>
      <c r="AM16" s="214" t="s">
        <v>20</v>
      </c>
      <c r="AN16" s="214" t="s">
        <v>20</v>
      </c>
      <c r="AO16" s="214" t="s">
        <v>20</v>
      </c>
      <c r="AP16" s="214" t="s">
        <v>20</v>
      </c>
      <c r="AQ16" s="271" t="s">
        <v>20</v>
      </c>
      <c r="AR16" s="214" t="s">
        <v>20</v>
      </c>
      <c r="AS16" s="48" t="str">
        <f t="shared" si="2"/>
        <v>0,00%</v>
      </c>
      <c r="AT16" s="271" t="s">
        <v>20</v>
      </c>
      <c r="AU16" s="214" t="s">
        <v>20</v>
      </c>
      <c r="AV16" s="214" t="s">
        <v>20</v>
      </c>
      <c r="AW16" s="214" t="s">
        <v>20</v>
      </c>
      <c r="AX16" s="214" t="s">
        <v>20</v>
      </c>
      <c r="AY16" s="214" t="s">
        <v>20</v>
      </c>
      <c r="AZ16" s="214" t="s">
        <v>20</v>
      </c>
      <c r="BA16" s="48" t="str">
        <f t="shared" si="3"/>
        <v>0,00%</v>
      </c>
      <c r="BB16" s="274" t="s">
        <v>20</v>
      </c>
      <c r="BC16" s="214" t="s">
        <v>20</v>
      </c>
      <c r="BD16" s="274" t="s">
        <v>20</v>
      </c>
      <c r="BE16" s="274" t="s">
        <v>20</v>
      </c>
      <c r="BF16" s="214" t="s">
        <v>20</v>
      </c>
      <c r="BG16" s="214" t="s">
        <v>20</v>
      </c>
      <c r="BH16" s="214" t="s">
        <v>20</v>
      </c>
      <c r="BI16" s="214" t="s">
        <v>20</v>
      </c>
      <c r="BJ16" s="214" t="s">
        <v>20</v>
      </c>
      <c r="BK16" s="275" t="s">
        <v>20</v>
      </c>
      <c r="BL16" s="271" t="s">
        <v>20</v>
      </c>
      <c r="BM16" s="214" t="s">
        <v>20</v>
      </c>
      <c r="BN16" s="214" t="s">
        <v>20</v>
      </c>
      <c r="BO16" s="274" t="s">
        <v>20</v>
      </c>
      <c r="BP16" s="274" t="s">
        <v>20</v>
      </c>
      <c r="BQ16" s="276" t="s">
        <v>20</v>
      </c>
      <c r="BR16" s="276" t="s">
        <v>20</v>
      </c>
      <c r="BS16" s="214" t="s">
        <v>20</v>
      </c>
      <c r="BT16" s="274" t="s">
        <v>20</v>
      </c>
      <c r="BU16" s="214" t="s">
        <v>20</v>
      </c>
      <c r="BV16" s="214" t="s">
        <v>20</v>
      </c>
      <c r="BW16" s="214" t="s">
        <v>20</v>
      </c>
      <c r="BX16" s="48" t="str">
        <f t="shared" si="4"/>
        <v>0,00%</v>
      </c>
    </row>
    <row r="17">
      <c r="A17" s="206">
        <v>13.0</v>
      </c>
      <c r="B17" s="62"/>
      <c r="C17" s="58"/>
      <c r="D17" s="16" t="s">
        <v>15</v>
      </c>
      <c r="E17" s="16" t="s">
        <v>16</v>
      </c>
      <c r="F17" s="16" t="s">
        <v>15</v>
      </c>
      <c r="G17" s="16" t="s">
        <v>15</v>
      </c>
      <c r="H17" s="16" t="s">
        <v>15</v>
      </c>
      <c r="I17" s="16" t="s">
        <v>15</v>
      </c>
      <c r="J17" s="16" t="s">
        <v>15</v>
      </c>
      <c r="K17" s="16" t="s">
        <v>15</v>
      </c>
      <c r="L17" s="16" t="s">
        <v>15</v>
      </c>
      <c r="M17" s="16" t="s">
        <v>15</v>
      </c>
      <c r="N17" s="16" t="s">
        <v>15</v>
      </c>
      <c r="O17" s="16" t="s">
        <v>16</v>
      </c>
      <c r="P17" s="16" t="s">
        <v>15</v>
      </c>
      <c r="Q17" s="16" t="s">
        <v>15</v>
      </c>
      <c r="R17" s="260" t="s">
        <v>16</v>
      </c>
      <c r="S17" s="29" t="s">
        <v>16</v>
      </c>
      <c r="T17" s="29" t="s">
        <v>15</v>
      </c>
      <c r="U17" s="29" t="s">
        <v>15</v>
      </c>
      <c r="V17" s="29" t="s">
        <v>15</v>
      </c>
      <c r="W17" s="29" t="s">
        <v>15</v>
      </c>
      <c r="X17" s="22">
        <f t="shared" si="1"/>
        <v>0.8</v>
      </c>
      <c r="Y17" s="16" t="s">
        <v>15</v>
      </c>
      <c r="Z17" s="16" t="s">
        <v>15</v>
      </c>
      <c r="AA17" s="16" t="s">
        <v>15</v>
      </c>
      <c r="AB17" s="16" t="s">
        <v>15</v>
      </c>
      <c r="AC17" s="16" t="s">
        <v>15</v>
      </c>
      <c r="AD17" s="16" t="s">
        <v>15</v>
      </c>
      <c r="AE17" s="16" t="s">
        <v>15</v>
      </c>
      <c r="AF17" s="16" t="s">
        <v>15</v>
      </c>
      <c r="AG17" s="16" t="s">
        <v>15</v>
      </c>
      <c r="AH17" s="16" t="s">
        <v>16</v>
      </c>
      <c r="AI17" s="16" t="s">
        <v>15</v>
      </c>
      <c r="AJ17" s="16" t="s">
        <v>15</v>
      </c>
      <c r="AK17" s="16" t="s">
        <v>15</v>
      </c>
      <c r="AL17" s="16" t="s">
        <v>15</v>
      </c>
      <c r="AM17" s="16" t="s">
        <v>15</v>
      </c>
      <c r="AN17" s="16" t="s">
        <v>16</v>
      </c>
      <c r="AO17" s="16" t="s">
        <v>15</v>
      </c>
      <c r="AP17" s="16" t="s">
        <v>16</v>
      </c>
      <c r="AQ17" s="16" t="s">
        <v>15</v>
      </c>
      <c r="AR17" s="16" t="s">
        <v>15</v>
      </c>
      <c r="AS17" s="22">
        <f t="shared" si="2"/>
        <v>0.85</v>
      </c>
      <c r="AT17" s="16" t="s">
        <v>15</v>
      </c>
      <c r="AU17" s="16" t="s">
        <v>15</v>
      </c>
      <c r="AV17" s="16" t="s">
        <v>15</v>
      </c>
      <c r="AW17" s="16" t="s">
        <v>16</v>
      </c>
      <c r="AX17" s="16" t="s">
        <v>15</v>
      </c>
      <c r="AY17" s="16" t="s">
        <v>16</v>
      </c>
      <c r="AZ17" s="16" t="s">
        <v>15</v>
      </c>
      <c r="BA17" s="22">
        <f t="shared" si="3"/>
        <v>0.7142857143</v>
      </c>
      <c r="BB17" s="261" t="s">
        <v>15</v>
      </c>
      <c r="BC17" s="16" t="s">
        <v>15</v>
      </c>
      <c r="BD17" s="261" t="s">
        <v>15</v>
      </c>
      <c r="BE17" s="261" t="s">
        <v>15</v>
      </c>
      <c r="BF17" s="261" t="s">
        <v>16</v>
      </c>
      <c r="BG17" s="152" t="s">
        <v>15</v>
      </c>
      <c r="BH17" s="16" t="s">
        <v>16</v>
      </c>
      <c r="BI17" s="16" t="s">
        <v>15</v>
      </c>
      <c r="BJ17" s="16" t="s">
        <v>15</v>
      </c>
      <c r="BK17" s="262" t="s">
        <v>15</v>
      </c>
      <c r="BL17" s="16" t="s">
        <v>15</v>
      </c>
      <c r="BM17" s="16" t="s">
        <v>15</v>
      </c>
      <c r="BN17" s="16" t="s">
        <v>15</v>
      </c>
      <c r="BO17" s="261" t="s">
        <v>15</v>
      </c>
      <c r="BP17" s="261" t="s">
        <v>15</v>
      </c>
      <c r="BQ17" s="208" t="s">
        <v>15</v>
      </c>
      <c r="BR17" s="263" t="s">
        <v>15</v>
      </c>
      <c r="BS17" s="16" t="s">
        <v>16</v>
      </c>
      <c r="BT17" s="264" t="s">
        <v>16</v>
      </c>
      <c r="BU17" s="16" t="s">
        <v>15</v>
      </c>
      <c r="BV17" s="16" t="s">
        <v>16</v>
      </c>
      <c r="BW17" s="267" t="s">
        <v>15</v>
      </c>
      <c r="BX17" s="22">
        <f t="shared" si="4"/>
        <v>0.7727272727</v>
      </c>
      <c r="BY17" s="107" t="s">
        <v>15</v>
      </c>
    </row>
    <row r="18">
      <c r="A18" s="206">
        <v>14.0</v>
      </c>
      <c r="B18" s="62"/>
      <c r="C18" s="26"/>
      <c r="D18" s="16" t="s">
        <v>15</v>
      </c>
      <c r="E18" s="16" t="s">
        <v>15</v>
      </c>
      <c r="F18" s="16" t="s">
        <v>15</v>
      </c>
      <c r="G18" s="16" t="s">
        <v>15</v>
      </c>
      <c r="H18" s="16" t="s">
        <v>15</v>
      </c>
      <c r="I18" s="16" t="s">
        <v>15</v>
      </c>
      <c r="J18" s="16" t="s">
        <v>15</v>
      </c>
      <c r="K18" s="16" t="s">
        <v>15</v>
      </c>
      <c r="L18" s="16" t="s">
        <v>15</v>
      </c>
      <c r="M18" s="16" t="s">
        <v>15</v>
      </c>
      <c r="N18" s="16" t="s">
        <v>15</v>
      </c>
      <c r="O18" s="16" t="s">
        <v>15</v>
      </c>
      <c r="P18" s="16" t="s">
        <v>15</v>
      </c>
      <c r="Q18" s="16" t="s">
        <v>15</v>
      </c>
      <c r="R18" s="260" t="s">
        <v>15</v>
      </c>
      <c r="S18" s="29" t="s">
        <v>15</v>
      </c>
      <c r="T18" s="29" t="s">
        <v>15</v>
      </c>
      <c r="U18" s="29" t="s">
        <v>15</v>
      </c>
      <c r="V18" s="29" t="s">
        <v>15</v>
      </c>
      <c r="W18" s="29" t="s">
        <v>15</v>
      </c>
      <c r="X18" s="22">
        <f t="shared" si="1"/>
        <v>1</v>
      </c>
      <c r="Y18" s="16" t="s">
        <v>15</v>
      </c>
      <c r="Z18" s="16" t="s">
        <v>15</v>
      </c>
      <c r="AA18" s="16" t="s">
        <v>15</v>
      </c>
      <c r="AB18" s="16" t="s">
        <v>15</v>
      </c>
      <c r="AC18" s="16" t="s">
        <v>15</v>
      </c>
      <c r="AD18" s="16" t="s">
        <v>15</v>
      </c>
      <c r="AE18" s="16" t="s">
        <v>15</v>
      </c>
      <c r="AF18" s="16" t="s">
        <v>15</v>
      </c>
      <c r="AG18" s="16" t="s">
        <v>15</v>
      </c>
      <c r="AH18" s="16" t="s">
        <v>15</v>
      </c>
      <c r="AI18" s="16" t="s">
        <v>15</v>
      </c>
      <c r="AJ18" s="16" t="s">
        <v>15</v>
      </c>
      <c r="AK18" s="16" t="s">
        <v>15</v>
      </c>
      <c r="AL18" s="16" t="s">
        <v>15</v>
      </c>
      <c r="AM18" s="16" t="s">
        <v>15</v>
      </c>
      <c r="AN18" s="16" t="s">
        <v>15</v>
      </c>
      <c r="AO18" s="16" t="s">
        <v>15</v>
      </c>
      <c r="AP18" s="16" t="s">
        <v>15</v>
      </c>
      <c r="AQ18" s="16" t="s">
        <v>15</v>
      </c>
      <c r="AR18" s="16" t="s">
        <v>15</v>
      </c>
      <c r="AS18" s="22">
        <f t="shared" si="2"/>
        <v>1</v>
      </c>
      <c r="AT18" s="16" t="s">
        <v>15</v>
      </c>
      <c r="AU18" s="16" t="s">
        <v>15</v>
      </c>
      <c r="AV18" s="16" t="s">
        <v>15</v>
      </c>
      <c r="AW18" s="16" t="s">
        <v>15</v>
      </c>
      <c r="AX18" s="16" t="s">
        <v>15</v>
      </c>
      <c r="AY18" s="16" t="s">
        <v>15</v>
      </c>
      <c r="AZ18" s="16" t="s">
        <v>15</v>
      </c>
      <c r="BA18" s="22">
        <f t="shared" si="3"/>
        <v>1</v>
      </c>
      <c r="BB18" s="261" t="s">
        <v>15</v>
      </c>
      <c r="BC18" s="16" t="s">
        <v>15</v>
      </c>
      <c r="BD18" s="261" t="s">
        <v>15</v>
      </c>
      <c r="BE18" s="261" t="s">
        <v>15</v>
      </c>
      <c r="BF18" s="261" t="s">
        <v>16</v>
      </c>
      <c r="BG18" s="152" t="s">
        <v>15</v>
      </c>
      <c r="BH18" s="16" t="s">
        <v>15</v>
      </c>
      <c r="BI18" s="16" t="s">
        <v>15</v>
      </c>
      <c r="BJ18" s="16" t="s">
        <v>15</v>
      </c>
      <c r="BK18" s="262" t="s">
        <v>15</v>
      </c>
      <c r="BL18" s="16" t="s">
        <v>15</v>
      </c>
      <c r="BM18" s="16" t="s">
        <v>15</v>
      </c>
      <c r="BN18" s="16" t="s">
        <v>15</v>
      </c>
      <c r="BO18" s="261" t="s">
        <v>15</v>
      </c>
      <c r="BP18" s="261" t="s">
        <v>15</v>
      </c>
      <c r="BQ18" s="208" t="s">
        <v>15</v>
      </c>
      <c r="BR18" s="263" t="s">
        <v>15</v>
      </c>
      <c r="BS18" s="16" t="s">
        <v>15</v>
      </c>
      <c r="BT18" s="261" t="s">
        <v>15</v>
      </c>
      <c r="BU18" s="16" t="s">
        <v>15</v>
      </c>
      <c r="BV18" s="16" t="s">
        <v>15</v>
      </c>
      <c r="BW18" s="269" t="s">
        <v>16</v>
      </c>
      <c r="BX18" s="22">
        <f t="shared" si="4"/>
        <v>0.9090909091</v>
      </c>
      <c r="BY18" s="107" t="s">
        <v>15</v>
      </c>
    </row>
    <row r="19">
      <c r="A19" s="206">
        <v>15.0</v>
      </c>
      <c r="B19" s="227"/>
      <c r="C19" s="113"/>
      <c r="D19" s="16" t="s">
        <v>16</v>
      </c>
      <c r="E19" s="16" t="s">
        <v>16</v>
      </c>
      <c r="F19" s="16" t="s">
        <v>15</v>
      </c>
      <c r="G19" s="16" t="s">
        <v>16</v>
      </c>
      <c r="H19" s="16" t="s">
        <v>15</v>
      </c>
      <c r="I19" s="16" t="s">
        <v>15</v>
      </c>
      <c r="J19" s="16" t="s">
        <v>15</v>
      </c>
      <c r="K19" s="16" t="s">
        <v>15</v>
      </c>
      <c r="L19" s="16" t="s">
        <v>15</v>
      </c>
      <c r="M19" s="16" t="s">
        <v>16</v>
      </c>
      <c r="N19" s="16" t="s">
        <v>15</v>
      </c>
      <c r="O19" s="16" t="s">
        <v>15</v>
      </c>
      <c r="P19" s="16" t="s">
        <v>15</v>
      </c>
      <c r="Q19" s="16" t="s">
        <v>16</v>
      </c>
      <c r="R19" s="260" t="s">
        <v>15</v>
      </c>
      <c r="S19" s="29" t="s">
        <v>15</v>
      </c>
      <c r="T19" s="29" t="s">
        <v>15</v>
      </c>
      <c r="U19" s="29" t="s">
        <v>15</v>
      </c>
      <c r="V19" s="29" t="s">
        <v>15</v>
      </c>
      <c r="W19" s="29" t="s">
        <v>15</v>
      </c>
      <c r="X19" s="22">
        <f t="shared" si="1"/>
        <v>0.75</v>
      </c>
      <c r="Y19" s="16" t="s">
        <v>15</v>
      </c>
      <c r="Z19" s="16" t="s">
        <v>15</v>
      </c>
      <c r="AA19" s="16" t="s">
        <v>16</v>
      </c>
      <c r="AB19" s="16" t="s">
        <v>15</v>
      </c>
      <c r="AC19" s="16" t="s">
        <v>15</v>
      </c>
      <c r="AD19" s="16" t="s">
        <v>15</v>
      </c>
      <c r="AE19" s="16" t="s">
        <v>15</v>
      </c>
      <c r="AF19" s="16" t="s">
        <v>15</v>
      </c>
      <c r="AG19" s="16" t="s">
        <v>16</v>
      </c>
      <c r="AH19" s="16" t="s">
        <v>15</v>
      </c>
      <c r="AI19" s="16" t="s">
        <v>15</v>
      </c>
      <c r="AJ19" s="16" t="s">
        <v>15</v>
      </c>
      <c r="AK19" s="16" t="s">
        <v>16</v>
      </c>
      <c r="AL19" s="16" t="s">
        <v>15</v>
      </c>
      <c r="AM19" s="16" t="s">
        <v>15</v>
      </c>
      <c r="AN19" s="16" t="s">
        <v>16</v>
      </c>
      <c r="AO19" s="16" t="s">
        <v>15</v>
      </c>
      <c r="AP19" s="16" t="s">
        <v>15</v>
      </c>
      <c r="AQ19" s="16" t="s">
        <v>16</v>
      </c>
      <c r="AR19" s="16" t="s">
        <v>16</v>
      </c>
      <c r="AS19" s="22">
        <f t="shared" si="2"/>
        <v>0.7</v>
      </c>
      <c r="AT19" s="16" t="s">
        <v>15</v>
      </c>
      <c r="AU19" s="16" t="s">
        <v>15</v>
      </c>
      <c r="AV19" s="16" t="s">
        <v>15</v>
      </c>
      <c r="AW19" s="16" t="s">
        <v>15</v>
      </c>
      <c r="AX19" s="16" t="s">
        <v>15</v>
      </c>
      <c r="AY19" s="16" t="s">
        <v>15</v>
      </c>
      <c r="AZ19" s="16" t="s">
        <v>16</v>
      </c>
      <c r="BA19" s="22">
        <f t="shared" si="3"/>
        <v>0.8571428571</v>
      </c>
      <c r="BB19" s="261" t="s">
        <v>15</v>
      </c>
      <c r="BC19" s="16" t="s">
        <v>15</v>
      </c>
      <c r="BD19" s="261" t="s">
        <v>16</v>
      </c>
      <c r="BE19" s="264" t="s">
        <v>15</v>
      </c>
      <c r="BF19" s="261" t="s">
        <v>16</v>
      </c>
      <c r="BG19" s="152" t="s">
        <v>15</v>
      </c>
      <c r="BH19" s="16" t="s">
        <v>15</v>
      </c>
      <c r="BI19" s="16" t="s">
        <v>15</v>
      </c>
      <c r="BJ19" s="16" t="s">
        <v>15</v>
      </c>
      <c r="BK19" s="21" t="s">
        <v>16</v>
      </c>
      <c r="BL19" s="16" t="s">
        <v>15</v>
      </c>
      <c r="BM19" s="16" t="s">
        <v>16</v>
      </c>
      <c r="BN19" s="16" t="s">
        <v>15</v>
      </c>
      <c r="BO19" s="261" t="s">
        <v>15</v>
      </c>
      <c r="BP19" s="261" t="s">
        <v>16</v>
      </c>
      <c r="BQ19" s="208" t="s">
        <v>15</v>
      </c>
      <c r="BR19" s="263" t="s">
        <v>15</v>
      </c>
      <c r="BS19" s="16" t="s">
        <v>15</v>
      </c>
      <c r="BT19" s="261" t="s">
        <v>15</v>
      </c>
      <c r="BU19" s="16" t="s">
        <v>15</v>
      </c>
      <c r="BV19" s="16" t="s">
        <v>15</v>
      </c>
      <c r="BW19" s="267" t="s">
        <v>15</v>
      </c>
      <c r="BX19" s="22">
        <f t="shared" si="4"/>
        <v>0.7727272727</v>
      </c>
      <c r="BY19" s="107" t="s">
        <v>15</v>
      </c>
    </row>
    <row r="20">
      <c r="A20" s="206">
        <v>16.0</v>
      </c>
      <c r="B20" s="62"/>
      <c r="C20" s="37" t="s">
        <v>32</v>
      </c>
      <c r="D20" s="16" t="s">
        <v>16</v>
      </c>
      <c r="E20" s="16" t="s">
        <v>15</v>
      </c>
      <c r="F20" s="16" t="s">
        <v>15</v>
      </c>
      <c r="G20" s="16" t="s">
        <v>16</v>
      </c>
      <c r="H20" s="16" t="s">
        <v>16</v>
      </c>
      <c r="I20" s="16" t="s">
        <v>16</v>
      </c>
      <c r="J20" s="16" t="s">
        <v>15</v>
      </c>
      <c r="K20" s="16" t="s">
        <v>15</v>
      </c>
      <c r="L20" s="16" t="s">
        <v>15</v>
      </c>
      <c r="M20" s="16" t="s">
        <v>15</v>
      </c>
      <c r="N20" s="16" t="s">
        <v>15</v>
      </c>
      <c r="O20" s="16" t="s">
        <v>15</v>
      </c>
      <c r="P20" s="16" t="s">
        <v>15</v>
      </c>
      <c r="Q20" s="16" t="s">
        <v>15</v>
      </c>
      <c r="R20" s="260" t="s">
        <v>15</v>
      </c>
      <c r="S20" s="29" t="s">
        <v>16</v>
      </c>
      <c r="T20" s="29" t="s">
        <v>15</v>
      </c>
      <c r="U20" s="29" t="s">
        <v>15</v>
      </c>
      <c r="V20" s="29" t="s">
        <v>15</v>
      </c>
      <c r="W20" s="29" t="s">
        <v>15</v>
      </c>
      <c r="X20" s="22">
        <f t="shared" si="1"/>
        <v>0.75</v>
      </c>
      <c r="Y20" s="16" t="s">
        <v>15</v>
      </c>
      <c r="Z20" s="16" t="s">
        <v>15</v>
      </c>
      <c r="AA20" s="16" t="s">
        <v>15</v>
      </c>
      <c r="AB20" s="16" t="s">
        <v>15</v>
      </c>
      <c r="AC20" s="16" t="s">
        <v>15</v>
      </c>
      <c r="AD20" s="16" t="s">
        <v>15</v>
      </c>
      <c r="AE20" s="16" t="s">
        <v>16</v>
      </c>
      <c r="AF20" s="16" t="s">
        <v>15</v>
      </c>
      <c r="AG20" s="16" t="s">
        <v>15</v>
      </c>
      <c r="AH20" s="16" t="s">
        <v>15</v>
      </c>
      <c r="AI20" s="16" t="s">
        <v>15</v>
      </c>
      <c r="AJ20" s="16" t="s">
        <v>15</v>
      </c>
      <c r="AK20" s="16" t="s">
        <v>15</v>
      </c>
      <c r="AL20" s="16" t="s">
        <v>15</v>
      </c>
      <c r="AM20" s="16" t="s">
        <v>15</v>
      </c>
      <c r="AN20" s="16" t="s">
        <v>15</v>
      </c>
      <c r="AO20" s="16" t="s">
        <v>15</v>
      </c>
      <c r="AP20" s="16" t="s">
        <v>15</v>
      </c>
      <c r="AQ20" s="16" t="s">
        <v>15</v>
      </c>
      <c r="AR20" s="16" t="s">
        <v>15</v>
      </c>
      <c r="AS20" s="22">
        <f t="shared" si="2"/>
        <v>0.95</v>
      </c>
      <c r="AT20" s="16" t="s">
        <v>15</v>
      </c>
      <c r="AU20" s="16" t="s">
        <v>15</v>
      </c>
      <c r="AV20" s="16" t="s">
        <v>15</v>
      </c>
      <c r="AW20" s="16" t="s">
        <v>16</v>
      </c>
      <c r="AX20" s="16" t="s">
        <v>15</v>
      </c>
      <c r="AY20" s="16" t="s">
        <v>15</v>
      </c>
      <c r="AZ20" s="16" t="s">
        <v>15</v>
      </c>
      <c r="BA20" s="22">
        <f t="shared" si="3"/>
        <v>0.8571428571</v>
      </c>
      <c r="BB20" s="261" t="s">
        <v>16</v>
      </c>
      <c r="BC20" s="16" t="s">
        <v>15</v>
      </c>
      <c r="BD20" s="261" t="s">
        <v>15</v>
      </c>
      <c r="BE20" s="261" t="s">
        <v>16</v>
      </c>
      <c r="BF20" s="261" t="s">
        <v>16</v>
      </c>
      <c r="BG20" s="152" t="s">
        <v>15</v>
      </c>
      <c r="BH20" s="16" t="s">
        <v>15</v>
      </c>
      <c r="BI20" s="16" t="s">
        <v>15</v>
      </c>
      <c r="BJ20" s="16" t="s">
        <v>16</v>
      </c>
      <c r="BK20" s="262" t="s">
        <v>15</v>
      </c>
      <c r="BL20" s="16" t="s">
        <v>15</v>
      </c>
      <c r="BM20" s="16" t="s">
        <v>16</v>
      </c>
      <c r="BN20" s="16" t="s">
        <v>15</v>
      </c>
      <c r="BO20" s="261" t="s">
        <v>15</v>
      </c>
      <c r="BP20" s="261" t="s">
        <v>15</v>
      </c>
      <c r="BQ20" s="208" t="s">
        <v>15</v>
      </c>
      <c r="BR20" s="266" t="s">
        <v>15</v>
      </c>
      <c r="BS20" s="16" t="s">
        <v>15</v>
      </c>
      <c r="BT20" s="264" t="s">
        <v>16</v>
      </c>
      <c r="BU20" s="16" t="s">
        <v>15</v>
      </c>
      <c r="BV20" s="16" t="s">
        <v>15</v>
      </c>
      <c r="BW20" s="269" t="s">
        <v>16</v>
      </c>
      <c r="BX20" s="22">
        <f t="shared" si="4"/>
        <v>0.6818181818</v>
      </c>
      <c r="BY20" s="107" t="s">
        <v>15</v>
      </c>
    </row>
    <row r="21">
      <c r="A21" s="206">
        <v>17.0</v>
      </c>
      <c r="B21" s="62"/>
      <c r="C21" s="58"/>
      <c r="D21" s="16" t="s">
        <v>16</v>
      </c>
      <c r="E21" s="16" t="s">
        <v>15</v>
      </c>
      <c r="F21" s="16" t="s">
        <v>15</v>
      </c>
      <c r="G21" s="16" t="s">
        <v>15</v>
      </c>
      <c r="H21" s="16" t="s">
        <v>15</v>
      </c>
      <c r="I21" s="16" t="s">
        <v>15</v>
      </c>
      <c r="J21" s="16" t="s">
        <v>15</v>
      </c>
      <c r="K21" s="16" t="s">
        <v>15</v>
      </c>
      <c r="L21" s="16" t="s">
        <v>15</v>
      </c>
      <c r="M21" s="16" t="s">
        <v>15</v>
      </c>
      <c r="N21" s="16" t="s">
        <v>15</v>
      </c>
      <c r="O21" s="16" t="s">
        <v>16</v>
      </c>
      <c r="P21" s="16" t="s">
        <v>15</v>
      </c>
      <c r="Q21" s="16" t="s">
        <v>15</v>
      </c>
      <c r="R21" s="260" t="s">
        <v>15</v>
      </c>
      <c r="S21" s="29" t="s">
        <v>15</v>
      </c>
      <c r="T21" s="29" t="s">
        <v>15</v>
      </c>
      <c r="U21" s="29" t="s">
        <v>15</v>
      </c>
      <c r="V21" s="29" t="s">
        <v>15</v>
      </c>
      <c r="W21" s="29" t="s">
        <v>16</v>
      </c>
      <c r="X21" s="22">
        <f t="shared" si="1"/>
        <v>0.85</v>
      </c>
      <c r="Y21" s="16" t="s">
        <v>15</v>
      </c>
      <c r="Z21" s="16" t="s">
        <v>15</v>
      </c>
      <c r="AA21" s="16" t="s">
        <v>15</v>
      </c>
      <c r="AB21" s="16" t="s">
        <v>15</v>
      </c>
      <c r="AC21" s="16" t="s">
        <v>15</v>
      </c>
      <c r="AD21" s="16" t="s">
        <v>15</v>
      </c>
      <c r="AE21" s="16" t="s">
        <v>15</v>
      </c>
      <c r="AF21" s="16" t="s">
        <v>15</v>
      </c>
      <c r="AG21" s="16" t="s">
        <v>15</v>
      </c>
      <c r="AH21" s="16" t="s">
        <v>15</v>
      </c>
      <c r="AI21" s="16" t="s">
        <v>15</v>
      </c>
      <c r="AJ21" s="16" t="s">
        <v>15</v>
      </c>
      <c r="AK21" s="16" t="s">
        <v>15</v>
      </c>
      <c r="AL21" s="16" t="s">
        <v>15</v>
      </c>
      <c r="AM21" s="16" t="s">
        <v>15</v>
      </c>
      <c r="AN21" s="16" t="s">
        <v>15</v>
      </c>
      <c r="AO21" s="16" t="s">
        <v>15</v>
      </c>
      <c r="AP21" s="16" t="s">
        <v>16</v>
      </c>
      <c r="AQ21" s="16" t="s">
        <v>15</v>
      </c>
      <c r="AR21" s="16" t="s">
        <v>15</v>
      </c>
      <c r="AS21" s="22">
        <f t="shared" si="2"/>
        <v>0.95</v>
      </c>
      <c r="AT21" s="16" t="s">
        <v>15</v>
      </c>
      <c r="AU21" s="16" t="s">
        <v>15</v>
      </c>
      <c r="AV21" s="16" t="s">
        <v>15</v>
      </c>
      <c r="AW21" s="16" t="s">
        <v>16</v>
      </c>
      <c r="AX21" s="16" t="s">
        <v>15</v>
      </c>
      <c r="AY21" s="16" t="s">
        <v>15</v>
      </c>
      <c r="AZ21" s="16" t="s">
        <v>15</v>
      </c>
      <c r="BA21" s="22">
        <f t="shared" si="3"/>
        <v>0.8571428571</v>
      </c>
      <c r="BB21" s="261" t="s">
        <v>15</v>
      </c>
      <c r="BC21" s="16" t="s">
        <v>15</v>
      </c>
      <c r="BD21" s="261" t="s">
        <v>15</v>
      </c>
      <c r="BE21" s="261" t="s">
        <v>16</v>
      </c>
      <c r="BF21" s="261" t="s">
        <v>16</v>
      </c>
      <c r="BG21" s="152" t="s">
        <v>15</v>
      </c>
      <c r="BH21" s="16" t="s">
        <v>16</v>
      </c>
      <c r="BI21" s="16" t="s">
        <v>15</v>
      </c>
      <c r="BJ21" s="16" t="s">
        <v>15</v>
      </c>
      <c r="BK21" s="262" t="s">
        <v>15</v>
      </c>
      <c r="BL21" s="16" t="s">
        <v>15</v>
      </c>
      <c r="BM21" s="16" t="s">
        <v>15</v>
      </c>
      <c r="BN21" s="16" t="s">
        <v>15</v>
      </c>
      <c r="BO21" s="261" t="s">
        <v>15</v>
      </c>
      <c r="BP21" s="261" t="s">
        <v>15</v>
      </c>
      <c r="BQ21" s="208" t="s">
        <v>15</v>
      </c>
      <c r="BR21" s="263" t="s">
        <v>15</v>
      </c>
      <c r="BS21" s="16" t="s">
        <v>15</v>
      </c>
      <c r="BT21" s="264" t="s">
        <v>16</v>
      </c>
      <c r="BU21" s="16" t="s">
        <v>15</v>
      </c>
      <c r="BV21" s="16" t="s">
        <v>16</v>
      </c>
      <c r="BW21" s="267" t="s">
        <v>15</v>
      </c>
      <c r="BX21" s="22">
        <f t="shared" si="4"/>
        <v>0.7727272727</v>
      </c>
      <c r="BY21" s="107" t="s">
        <v>16</v>
      </c>
    </row>
    <row r="22">
      <c r="A22" s="206">
        <v>18.0</v>
      </c>
      <c r="B22" s="62"/>
      <c r="C22" s="58"/>
      <c r="D22" s="16" t="s">
        <v>16</v>
      </c>
      <c r="E22" s="16" t="s">
        <v>15</v>
      </c>
      <c r="F22" s="16" t="s">
        <v>15</v>
      </c>
      <c r="G22" s="16" t="s">
        <v>15</v>
      </c>
      <c r="H22" s="16" t="s">
        <v>15</v>
      </c>
      <c r="I22" s="16" t="s">
        <v>15</v>
      </c>
      <c r="J22" s="16" t="s">
        <v>15</v>
      </c>
      <c r="K22" s="16" t="s">
        <v>15</v>
      </c>
      <c r="L22" s="16" t="s">
        <v>15</v>
      </c>
      <c r="M22" s="16" t="s">
        <v>15</v>
      </c>
      <c r="N22" s="16" t="s">
        <v>15</v>
      </c>
      <c r="O22" s="16" t="s">
        <v>15</v>
      </c>
      <c r="P22" s="16" t="s">
        <v>15</v>
      </c>
      <c r="Q22" s="16" t="s">
        <v>15</v>
      </c>
      <c r="R22" s="260" t="s">
        <v>15</v>
      </c>
      <c r="S22" s="29" t="s">
        <v>15</v>
      </c>
      <c r="T22" s="29" t="s">
        <v>15</v>
      </c>
      <c r="U22" s="29" t="s">
        <v>15</v>
      </c>
      <c r="V22" s="29" t="s">
        <v>15</v>
      </c>
      <c r="W22" s="29" t="s">
        <v>15</v>
      </c>
      <c r="X22" s="22">
        <f t="shared" si="1"/>
        <v>0.95</v>
      </c>
      <c r="Y22" s="16" t="s">
        <v>15</v>
      </c>
      <c r="Z22" s="16" t="s">
        <v>15</v>
      </c>
      <c r="AA22" s="16" t="s">
        <v>15</v>
      </c>
      <c r="AB22" s="16" t="s">
        <v>15</v>
      </c>
      <c r="AC22" s="16" t="s">
        <v>15</v>
      </c>
      <c r="AD22" s="16" t="s">
        <v>15</v>
      </c>
      <c r="AE22" s="16" t="s">
        <v>15</v>
      </c>
      <c r="AF22" s="16" t="s">
        <v>15</v>
      </c>
      <c r="AG22" s="16" t="s">
        <v>16</v>
      </c>
      <c r="AH22" s="16" t="s">
        <v>15</v>
      </c>
      <c r="AI22" s="16" t="s">
        <v>15</v>
      </c>
      <c r="AJ22" s="16" t="s">
        <v>15</v>
      </c>
      <c r="AK22" s="16" t="s">
        <v>15</v>
      </c>
      <c r="AL22" s="16" t="s">
        <v>15</v>
      </c>
      <c r="AM22" s="16" t="s">
        <v>15</v>
      </c>
      <c r="AN22" s="16" t="s">
        <v>15</v>
      </c>
      <c r="AO22" s="16" t="s">
        <v>15</v>
      </c>
      <c r="AP22" s="16" t="s">
        <v>15</v>
      </c>
      <c r="AQ22" s="16" t="s">
        <v>16</v>
      </c>
      <c r="AR22" s="16" t="s">
        <v>15</v>
      </c>
      <c r="AS22" s="22">
        <f t="shared" si="2"/>
        <v>0.9</v>
      </c>
      <c r="AT22" s="16" t="s">
        <v>15</v>
      </c>
      <c r="AU22" s="16" t="s">
        <v>15</v>
      </c>
      <c r="AV22" s="16" t="s">
        <v>15</v>
      </c>
      <c r="AW22" s="16" t="s">
        <v>15</v>
      </c>
      <c r="AX22" s="16" t="s">
        <v>15</v>
      </c>
      <c r="AY22" s="16" t="s">
        <v>15</v>
      </c>
      <c r="AZ22" s="16" t="s">
        <v>15</v>
      </c>
      <c r="BA22" s="22">
        <f t="shared" si="3"/>
        <v>1</v>
      </c>
      <c r="BB22" s="261" t="s">
        <v>15</v>
      </c>
      <c r="BC22" s="16" t="s">
        <v>16</v>
      </c>
      <c r="BD22" s="261" t="s">
        <v>15</v>
      </c>
      <c r="BE22" s="261" t="s">
        <v>15</v>
      </c>
      <c r="BF22" s="264" t="s">
        <v>15</v>
      </c>
      <c r="BG22" s="16" t="s">
        <v>16</v>
      </c>
      <c r="BH22" s="16" t="s">
        <v>15</v>
      </c>
      <c r="BI22" s="16" t="s">
        <v>15</v>
      </c>
      <c r="BJ22" s="16" t="s">
        <v>15</v>
      </c>
      <c r="BK22" s="262" t="s">
        <v>15</v>
      </c>
      <c r="BL22" s="16" t="s">
        <v>15</v>
      </c>
      <c r="BM22" s="16" t="s">
        <v>15</v>
      </c>
      <c r="BN22" s="16" t="s">
        <v>15</v>
      </c>
      <c r="BO22" s="261" t="s">
        <v>15</v>
      </c>
      <c r="BP22" s="261" t="s">
        <v>15</v>
      </c>
      <c r="BQ22" s="208" t="s">
        <v>15</v>
      </c>
      <c r="BR22" s="263" t="s">
        <v>16</v>
      </c>
      <c r="BS22" s="16" t="s">
        <v>15</v>
      </c>
      <c r="BT22" s="261" t="s">
        <v>15</v>
      </c>
      <c r="BU22" s="16" t="s">
        <v>15</v>
      </c>
      <c r="BV22" s="16" t="s">
        <v>16</v>
      </c>
      <c r="BW22" s="267" t="s">
        <v>15</v>
      </c>
      <c r="BX22" s="22">
        <f t="shared" si="4"/>
        <v>0.8181818182</v>
      </c>
      <c r="BY22" s="107" t="s">
        <v>15</v>
      </c>
    </row>
    <row r="23">
      <c r="A23" s="123">
        <v>19.0</v>
      </c>
      <c r="B23" s="62"/>
      <c r="C23" s="26"/>
      <c r="D23" s="16" t="s">
        <v>16</v>
      </c>
      <c r="E23" s="16" t="s">
        <v>15</v>
      </c>
      <c r="F23" s="16" t="s">
        <v>15</v>
      </c>
      <c r="G23" s="16" t="s">
        <v>15</v>
      </c>
      <c r="H23" s="16" t="s">
        <v>15</v>
      </c>
      <c r="I23" s="16" t="s">
        <v>15</v>
      </c>
      <c r="J23" s="16" t="s">
        <v>15</v>
      </c>
      <c r="K23" s="16" t="s">
        <v>15</v>
      </c>
      <c r="L23" s="16" t="s">
        <v>15</v>
      </c>
      <c r="M23" s="16" t="s">
        <v>15</v>
      </c>
      <c r="N23" s="16" t="s">
        <v>15</v>
      </c>
      <c r="O23" s="16" t="s">
        <v>15</v>
      </c>
      <c r="P23" s="16" t="s">
        <v>16</v>
      </c>
      <c r="Q23" s="16" t="s">
        <v>15</v>
      </c>
      <c r="R23" s="279" t="s">
        <v>15</v>
      </c>
      <c r="S23" s="29" t="s">
        <v>15</v>
      </c>
      <c r="T23" s="29" t="s">
        <v>15</v>
      </c>
      <c r="U23" s="29" t="s">
        <v>16</v>
      </c>
      <c r="V23" s="29" t="s">
        <v>15</v>
      </c>
      <c r="W23" s="29" t="s">
        <v>15</v>
      </c>
      <c r="X23" s="22">
        <f t="shared" si="1"/>
        <v>0.85</v>
      </c>
      <c r="Y23" s="16" t="s">
        <v>15</v>
      </c>
      <c r="Z23" s="16" t="s">
        <v>16</v>
      </c>
      <c r="AA23" s="16" t="s">
        <v>15</v>
      </c>
      <c r="AB23" s="16" t="s">
        <v>16</v>
      </c>
      <c r="AC23" s="16" t="s">
        <v>16</v>
      </c>
      <c r="AD23" s="16" t="s">
        <v>15</v>
      </c>
      <c r="AE23" s="16" t="s">
        <v>15</v>
      </c>
      <c r="AF23" s="16" t="s">
        <v>15</v>
      </c>
      <c r="AG23" s="16" t="s">
        <v>15</v>
      </c>
      <c r="AH23" s="16" t="s">
        <v>15</v>
      </c>
      <c r="AI23" s="16" t="s">
        <v>16</v>
      </c>
      <c r="AJ23" s="16" t="s">
        <v>16</v>
      </c>
      <c r="AK23" s="16" t="s">
        <v>16</v>
      </c>
      <c r="AL23" s="16" t="s">
        <v>15</v>
      </c>
      <c r="AM23" s="16" t="s">
        <v>16</v>
      </c>
      <c r="AN23" s="16" t="s">
        <v>16</v>
      </c>
      <c r="AO23" s="16" t="s">
        <v>16</v>
      </c>
      <c r="AP23" s="16" t="s">
        <v>15</v>
      </c>
      <c r="AQ23" s="16" t="s">
        <v>15</v>
      </c>
      <c r="AR23" s="16" t="s">
        <v>16</v>
      </c>
      <c r="AS23" s="22">
        <f t="shared" si="2"/>
        <v>0.5</v>
      </c>
      <c r="AT23" s="16" t="s">
        <v>16</v>
      </c>
      <c r="AU23" s="16" t="s">
        <v>15</v>
      </c>
      <c r="AV23" s="16" t="s">
        <v>15</v>
      </c>
      <c r="AW23" s="16" t="s">
        <v>15</v>
      </c>
      <c r="AX23" s="16" t="s">
        <v>15</v>
      </c>
      <c r="AY23" s="16" t="s">
        <v>15</v>
      </c>
      <c r="AZ23" s="16" t="s">
        <v>15</v>
      </c>
      <c r="BA23" s="22">
        <f t="shared" si="3"/>
        <v>0.8571428571</v>
      </c>
      <c r="BB23" s="261" t="s">
        <v>15</v>
      </c>
      <c r="BC23" s="16" t="s">
        <v>15</v>
      </c>
      <c r="BD23" s="261" t="s">
        <v>15</v>
      </c>
      <c r="BE23" s="261" t="s">
        <v>15</v>
      </c>
      <c r="BF23" s="261" t="s">
        <v>16</v>
      </c>
      <c r="BG23" s="16" t="s">
        <v>15</v>
      </c>
      <c r="BH23" s="16" t="s">
        <v>15</v>
      </c>
      <c r="BI23" s="16" t="s">
        <v>15</v>
      </c>
      <c r="BJ23" s="16" t="s">
        <v>15</v>
      </c>
      <c r="BK23" s="262" t="s">
        <v>15</v>
      </c>
      <c r="BL23" s="16" t="s">
        <v>15</v>
      </c>
      <c r="BM23" s="16" t="s">
        <v>15</v>
      </c>
      <c r="BN23" s="16" t="s">
        <v>15</v>
      </c>
      <c r="BO23" s="261" t="s">
        <v>15</v>
      </c>
      <c r="BP23" s="261" t="s">
        <v>15</v>
      </c>
      <c r="BQ23" s="208" t="s">
        <v>15</v>
      </c>
      <c r="BR23" s="263" t="s">
        <v>15</v>
      </c>
      <c r="BS23" s="16" t="s">
        <v>15</v>
      </c>
      <c r="BT23" s="264" t="s">
        <v>16</v>
      </c>
      <c r="BU23" s="16" t="s">
        <v>15</v>
      </c>
      <c r="BV23" s="16" t="s">
        <v>16</v>
      </c>
      <c r="BW23" s="269" t="s">
        <v>16</v>
      </c>
      <c r="BX23" s="22">
        <f t="shared" si="4"/>
        <v>0.8181818182</v>
      </c>
      <c r="BY23" s="107" t="s">
        <v>16</v>
      </c>
    </row>
    <row r="24">
      <c r="A24" s="206">
        <v>20.0</v>
      </c>
      <c r="B24" s="62"/>
      <c r="C24" s="231"/>
      <c r="D24" s="16" t="s">
        <v>16</v>
      </c>
      <c r="E24" s="16" t="s">
        <v>15</v>
      </c>
      <c r="F24" s="16" t="s">
        <v>15</v>
      </c>
      <c r="G24" s="16" t="s">
        <v>15</v>
      </c>
      <c r="H24" s="16" t="s">
        <v>15</v>
      </c>
      <c r="I24" s="16" t="s">
        <v>15</v>
      </c>
      <c r="J24" s="16" t="s">
        <v>15</v>
      </c>
      <c r="K24" s="16" t="s">
        <v>15</v>
      </c>
      <c r="L24" s="16" t="s">
        <v>15</v>
      </c>
      <c r="M24" s="16" t="s">
        <v>16</v>
      </c>
      <c r="N24" s="16" t="s">
        <v>15</v>
      </c>
      <c r="O24" s="16" t="s">
        <v>15</v>
      </c>
      <c r="P24" s="16" t="s">
        <v>15</v>
      </c>
      <c r="Q24" s="16" t="s">
        <v>15</v>
      </c>
      <c r="R24" s="260" t="s">
        <v>16</v>
      </c>
      <c r="S24" s="29" t="s">
        <v>16</v>
      </c>
      <c r="T24" s="29" t="s">
        <v>16</v>
      </c>
      <c r="U24" s="29" t="s">
        <v>16</v>
      </c>
      <c r="V24" s="29" t="s">
        <v>16</v>
      </c>
      <c r="W24" s="29" t="s">
        <v>16</v>
      </c>
      <c r="X24" s="22">
        <f t="shared" si="1"/>
        <v>0.6</v>
      </c>
      <c r="Y24" s="16" t="s">
        <v>15</v>
      </c>
      <c r="Z24" s="16" t="s">
        <v>15</v>
      </c>
      <c r="AA24" s="16" t="s">
        <v>15</v>
      </c>
      <c r="AB24" s="16" t="s">
        <v>15</v>
      </c>
      <c r="AC24" s="16" t="s">
        <v>15</v>
      </c>
      <c r="AD24" s="16" t="s">
        <v>15</v>
      </c>
      <c r="AE24" s="16" t="s">
        <v>15</v>
      </c>
      <c r="AF24" s="16" t="s">
        <v>15</v>
      </c>
      <c r="AG24" s="16" t="s">
        <v>15</v>
      </c>
      <c r="AH24" s="16" t="s">
        <v>15</v>
      </c>
      <c r="AI24" s="16" t="s">
        <v>15</v>
      </c>
      <c r="AJ24" s="16" t="s">
        <v>15</v>
      </c>
      <c r="AK24" s="16" t="s">
        <v>15</v>
      </c>
      <c r="AL24" s="16" t="s">
        <v>15</v>
      </c>
      <c r="AM24" s="16" t="s">
        <v>15</v>
      </c>
      <c r="AN24" s="16" t="s">
        <v>15</v>
      </c>
      <c r="AO24" s="16" t="s">
        <v>15</v>
      </c>
      <c r="AP24" s="16" t="s">
        <v>15</v>
      </c>
      <c r="AQ24" s="16" t="s">
        <v>15</v>
      </c>
      <c r="AR24" s="16" t="s">
        <v>15</v>
      </c>
      <c r="AS24" s="22">
        <f t="shared" si="2"/>
        <v>1</v>
      </c>
      <c r="AT24" s="16" t="s">
        <v>15</v>
      </c>
      <c r="AU24" s="16" t="s">
        <v>15</v>
      </c>
      <c r="AV24" s="16" t="s">
        <v>15</v>
      </c>
      <c r="AW24" s="16" t="s">
        <v>15</v>
      </c>
      <c r="AX24" s="16" t="s">
        <v>15</v>
      </c>
      <c r="AY24" s="16" t="s">
        <v>15</v>
      </c>
      <c r="AZ24" s="16" t="s">
        <v>15</v>
      </c>
      <c r="BA24" s="22">
        <f t="shared" si="3"/>
        <v>1</v>
      </c>
      <c r="BB24" s="261" t="s">
        <v>15</v>
      </c>
      <c r="BC24" s="16" t="s">
        <v>15</v>
      </c>
      <c r="BD24" s="261" t="s">
        <v>15</v>
      </c>
      <c r="BE24" s="261" t="s">
        <v>16</v>
      </c>
      <c r="BF24" s="264" t="s">
        <v>15</v>
      </c>
      <c r="BG24" s="16" t="s">
        <v>15</v>
      </c>
      <c r="BH24" s="16" t="s">
        <v>15</v>
      </c>
      <c r="BI24" s="16" t="s">
        <v>15</v>
      </c>
      <c r="BJ24" s="16" t="s">
        <v>15</v>
      </c>
      <c r="BK24" s="262" t="s">
        <v>15</v>
      </c>
      <c r="BL24" s="16" t="s">
        <v>15</v>
      </c>
      <c r="BM24" s="16" t="s">
        <v>15</v>
      </c>
      <c r="BN24" s="16" t="s">
        <v>15</v>
      </c>
      <c r="BO24" s="261" t="s">
        <v>15</v>
      </c>
      <c r="BP24" s="261" t="s">
        <v>15</v>
      </c>
      <c r="BQ24" s="208" t="s">
        <v>15</v>
      </c>
      <c r="BR24" s="263" t="s">
        <v>15</v>
      </c>
      <c r="BS24" s="16" t="s">
        <v>15</v>
      </c>
      <c r="BT24" s="264" t="s">
        <v>16</v>
      </c>
      <c r="BU24" s="16" t="s">
        <v>15</v>
      </c>
      <c r="BV24" s="16" t="s">
        <v>16</v>
      </c>
      <c r="BW24" s="267" t="s">
        <v>15</v>
      </c>
      <c r="BX24" s="22">
        <f t="shared" si="4"/>
        <v>0.8636363636</v>
      </c>
      <c r="BY24" s="107" t="s">
        <v>15</v>
      </c>
    </row>
    <row r="25">
      <c r="A25" s="206">
        <v>21.0</v>
      </c>
      <c r="B25" s="91"/>
      <c r="C25" s="283"/>
      <c r="D25" s="16" t="s">
        <v>16</v>
      </c>
      <c r="E25" s="16" t="s">
        <v>15</v>
      </c>
      <c r="F25" s="16" t="s">
        <v>15</v>
      </c>
      <c r="G25" s="16" t="s">
        <v>15</v>
      </c>
      <c r="H25" s="16" t="s">
        <v>15</v>
      </c>
      <c r="I25" s="16" t="s">
        <v>15</v>
      </c>
      <c r="J25" s="16" t="s">
        <v>15</v>
      </c>
      <c r="K25" s="16" t="s">
        <v>15</v>
      </c>
      <c r="L25" s="16" t="s">
        <v>15</v>
      </c>
      <c r="M25" s="16" t="s">
        <v>16</v>
      </c>
      <c r="N25" s="16" t="s">
        <v>15</v>
      </c>
      <c r="O25" s="16" t="s">
        <v>16</v>
      </c>
      <c r="P25" s="16" t="s">
        <v>15</v>
      </c>
      <c r="Q25" s="16" t="s">
        <v>15</v>
      </c>
      <c r="R25" s="260" t="s">
        <v>16</v>
      </c>
      <c r="S25" s="29" t="s">
        <v>15</v>
      </c>
      <c r="T25" s="29" t="s">
        <v>15</v>
      </c>
      <c r="U25" s="29" t="s">
        <v>16</v>
      </c>
      <c r="V25" s="29" t="s">
        <v>15</v>
      </c>
      <c r="W25" s="29" t="s">
        <v>16</v>
      </c>
      <c r="X25" s="22">
        <f t="shared" si="1"/>
        <v>0.7</v>
      </c>
      <c r="Y25" s="16" t="s">
        <v>15</v>
      </c>
      <c r="Z25" s="16" t="s">
        <v>15</v>
      </c>
      <c r="AA25" s="16" t="s">
        <v>16</v>
      </c>
      <c r="AB25" s="16" t="s">
        <v>15</v>
      </c>
      <c r="AC25" s="16" t="s">
        <v>16</v>
      </c>
      <c r="AD25" s="16" t="s">
        <v>15</v>
      </c>
      <c r="AE25" s="16" t="s">
        <v>15</v>
      </c>
      <c r="AF25" s="16" t="s">
        <v>16</v>
      </c>
      <c r="AG25" s="16" t="s">
        <v>16</v>
      </c>
      <c r="AH25" s="16" t="s">
        <v>15</v>
      </c>
      <c r="AI25" s="16" t="s">
        <v>15</v>
      </c>
      <c r="AJ25" s="16" t="s">
        <v>16</v>
      </c>
      <c r="AK25" s="16" t="s">
        <v>15</v>
      </c>
      <c r="AL25" s="16" t="s">
        <v>15</v>
      </c>
      <c r="AM25" s="16" t="s">
        <v>15</v>
      </c>
      <c r="AN25" s="16" t="s">
        <v>16</v>
      </c>
      <c r="AO25" s="16" t="s">
        <v>15</v>
      </c>
      <c r="AP25" s="16" t="s">
        <v>16</v>
      </c>
      <c r="AQ25" s="16" t="s">
        <v>16</v>
      </c>
      <c r="AR25" s="16" t="s">
        <v>15</v>
      </c>
      <c r="AS25" s="22">
        <f t="shared" si="2"/>
        <v>0.6</v>
      </c>
      <c r="AT25" s="16" t="s">
        <v>16</v>
      </c>
      <c r="AU25" s="16" t="s">
        <v>15</v>
      </c>
      <c r="AV25" s="16" t="s">
        <v>15</v>
      </c>
      <c r="AW25" s="16" t="s">
        <v>15</v>
      </c>
      <c r="AX25" s="16" t="s">
        <v>15</v>
      </c>
      <c r="AY25" s="16" t="s">
        <v>16</v>
      </c>
      <c r="AZ25" s="16" t="s">
        <v>16</v>
      </c>
      <c r="BA25" s="22">
        <f t="shared" si="3"/>
        <v>0.5714285714</v>
      </c>
      <c r="BB25" s="261" t="s">
        <v>15</v>
      </c>
      <c r="BC25" s="16" t="s">
        <v>15</v>
      </c>
      <c r="BD25" s="261" t="s">
        <v>16</v>
      </c>
      <c r="BE25" s="261" t="s">
        <v>15</v>
      </c>
      <c r="BF25" s="261" t="s">
        <v>16</v>
      </c>
      <c r="BG25" s="16" t="s">
        <v>16</v>
      </c>
      <c r="BH25" s="16" t="s">
        <v>15</v>
      </c>
      <c r="BI25" s="16" t="s">
        <v>15</v>
      </c>
      <c r="BJ25" s="16" t="s">
        <v>15</v>
      </c>
      <c r="BK25" s="21" t="s">
        <v>16</v>
      </c>
      <c r="BL25" s="16" t="s">
        <v>15</v>
      </c>
      <c r="BM25" s="16" t="s">
        <v>15</v>
      </c>
      <c r="BN25" s="16" t="s">
        <v>15</v>
      </c>
      <c r="BO25" s="261" t="s">
        <v>16</v>
      </c>
      <c r="BP25" s="261" t="s">
        <v>16</v>
      </c>
      <c r="BQ25" s="208" t="s">
        <v>15</v>
      </c>
      <c r="BR25" s="263" t="s">
        <v>15</v>
      </c>
      <c r="BS25" s="16" t="s">
        <v>15</v>
      </c>
      <c r="BT25" s="261" t="s">
        <v>15</v>
      </c>
      <c r="BU25" s="16" t="s">
        <v>15</v>
      </c>
      <c r="BV25" s="16" t="s">
        <v>16</v>
      </c>
      <c r="BW25" s="269" t="s">
        <v>16</v>
      </c>
      <c r="BX25" s="22">
        <f t="shared" si="4"/>
        <v>0.6363636364</v>
      </c>
      <c r="BY25" s="107" t="s">
        <v>15</v>
      </c>
    </row>
    <row r="26">
      <c r="A26" s="206">
        <v>22.0</v>
      </c>
      <c r="B26" s="81"/>
      <c r="C26" s="113"/>
      <c r="D26" s="16" t="s">
        <v>16</v>
      </c>
      <c r="E26" s="16" t="s">
        <v>16</v>
      </c>
      <c r="F26" s="16" t="s">
        <v>15</v>
      </c>
      <c r="G26" s="16" t="s">
        <v>15</v>
      </c>
      <c r="H26" s="16" t="s">
        <v>16</v>
      </c>
      <c r="I26" s="16" t="s">
        <v>15</v>
      </c>
      <c r="J26" s="16" t="s">
        <v>15</v>
      </c>
      <c r="K26" s="16" t="s">
        <v>16</v>
      </c>
      <c r="L26" s="16" t="s">
        <v>15</v>
      </c>
      <c r="M26" s="16" t="s">
        <v>15</v>
      </c>
      <c r="N26" s="16" t="s">
        <v>15</v>
      </c>
      <c r="O26" s="16" t="s">
        <v>16</v>
      </c>
      <c r="P26" s="16" t="s">
        <v>15</v>
      </c>
      <c r="Q26" s="16" t="s">
        <v>15</v>
      </c>
      <c r="R26" s="53" t="s">
        <v>16</v>
      </c>
      <c r="S26" s="29" t="s">
        <v>16</v>
      </c>
      <c r="T26" s="29" t="s">
        <v>15</v>
      </c>
      <c r="U26" s="29" t="s">
        <v>15</v>
      </c>
      <c r="V26" s="29" t="s">
        <v>16</v>
      </c>
      <c r="W26" s="29" t="s">
        <v>15</v>
      </c>
      <c r="X26" s="22">
        <f t="shared" si="1"/>
        <v>0.6</v>
      </c>
      <c r="Y26" s="16" t="s">
        <v>15</v>
      </c>
      <c r="Z26" s="16" t="s">
        <v>15</v>
      </c>
      <c r="AA26" s="16" t="s">
        <v>16</v>
      </c>
      <c r="AB26" s="16" t="s">
        <v>15</v>
      </c>
      <c r="AC26" s="16" t="s">
        <v>16</v>
      </c>
      <c r="AD26" s="16" t="s">
        <v>15</v>
      </c>
      <c r="AE26" s="16" t="s">
        <v>15</v>
      </c>
      <c r="AF26" s="16" t="s">
        <v>16</v>
      </c>
      <c r="AG26" s="16" t="s">
        <v>16</v>
      </c>
      <c r="AH26" s="16" t="s">
        <v>15</v>
      </c>
      <c r="AI26" s="16" t="s">
        <v>16</v>
      </c>
      <c r="AJ26" s="16" t="s">
        <v>15</v>
      </c>
      <c r="AK26" s="16" t="s">
        <v>15</v>
      </c>
      <c r="AL26" s="16" t="s">
        <v>15</v>
      </c>
      <c r="AM26" s="16" t="s">
        <v>15</v>
      </c>
      <c r="AN26" s="16" t="s">
        <v>16</v>
      </c>
      <c r="AO26" s="16" t="s">
        <v>15</v>
      </c>
      <c r="AP26" s="16" t="s">
        <v>16</v>
      </c>
      <c r="AQ26" s="16" t="s">
        <v>16</v>
      </c>
      <c r="AR26" s="16" t="s">
        <v>16</v>
      </c>
      <c r="AS26" s="22">
        <f t="shared" si="2"/>
        <v>0.55</v>
      </c>
      <c r="AT26" s="16" t="s">
        <v>16</v>
      </c>
      <c r="AU26" s="16" t="s">
        <v>15</v>
      </c>
      <c r="AV26" s="16" t="s">
        <v>15</v>
      </c>
      <c r="AW26" s="16" t="s">
        <v>16</v>
      </c>
      <c r="AX26" s="16" t="s">
        <v>15</v>
      </c>
      <c r="AY26" s="16" t="s">
        <v>15</v>
      </c>
      <c r="AZ26" s="16" t="s">
        <v>16</v>
      </c>
      <c r="BA26" s="22">
        <f t="shared" si="3"/>
        <v>0.5714285714</v>
      </c>
      <c r="BB26" s="261" t="s">
        <v>16</v>
      </c>
      <c r="BC26" s="16" t="s">
        <v>15</v>
      </c>
      <c r="BD26" s="261" t="s">
        <v>16</v>
      </c>
      <c r="BE26" s="261" t="s">
        <v>15</v>
      </c>
      <c r="BF26" s="261" t="s">
        <v>16</v>
      </c>
      <c r="BG26" s="16" t="s">
        <v>16</v>
      </c>
      <c r="BH26" s="16" t="s">
        <v>15</v>
      </c>
      <c r="BI26" s="16" t="s">
        <v>16</v>
      </c>
      <c r="BJ26" s="16" t="s">
        <v>16</v>
      </c>
      <c r="BK26" s="21" t="s">
        <v>16</v>
      </c>
      <c r="BL26" s="16" t="s">
        <v>15</v>
      </c>
      <c r="BM26" s="16" t="s">
        <v>15</v>
      </c>
      <c r="BN26" s="16" t="s">
        <v>16</v>
      </c>
      <c r="BO26" s="261" t="s">
        <v>16</v>
      </c>
      <c r="BP26" s="261" t="s">
        <v>15</v>
      </c>
      <c r="BQ26" s="208" t="s">
        <v>15</v>
      </c>
      <c r="BR26" s="263" t="s">
        <v>16</v>
      </c>
      <c r="BS26" s="16" t="s">
        <v>15</v>
      </c>
      <c r="BT26" s="264" t="s">
        <v>16</v>
      </c>
      <c r="BU26" s="16" t="s">
        <v>15</v>
      </c>
      <c r="BV26" s="16" t="s">
        <v>16</v>
      </c>
      <c r="BW26" s="269" t="s">
        <v>16</v>
      </c>
      <c r="BX26" s="22">
        <f t="shared" si="4"/>
        <v>0.4090909091</v>
      </c>
      <c r="BY26" s="107" t="s">
        <v>16</v>
      </c>
    </row>
    <row r="27">
      <c r="A27" s="206">
        <v>23.0</v>
      </c>
      <c r="B27" s="121"/>
      <c r="C27" s="37" t="s">
        <v>32</v>
      </c>
      <c r="D27" s="24" t="s">
        <v>16</v>
      </c>
      <c r="E27" s="24" t="s">
        <v>15</v>
      </c>
      <c r="F27" s="24" t="s">
        <v>15</v>
      </c>
      <c r="G27" s="16" t="s">
        <v>15</v>
      </c>
      <c r="H27" s="16" t="s">
        <v>15</v>
      </c>
      <c r="I27" s="16" t="s">
        <v>15</v>
      </c>
      <c r="J27" s="16" t="s">
        <v>15</v>
      </c>
      <c r="K27" s="16" t="s">
        <v>15</v>
      </c>
      <c r="L27" s="16" t="s">
        <v>15</v>
      </c>
      <c r="M27" s="16" t="s">
        <v>15</v>
      </c>
      <c r="N27" s="16" t="s">
        <v>15</v>
      </c>
      <c r="O27" s="16" t="s">
        <v>15</v>
      </c>
      <c r="P27" s="16" t="s">
        <v>15</v>
      </c>
      <c r="Q27" s="16" t="s">
        <v>15</v>
      </c>
      <c r="R27" s="260" t="s">
        <v>15</v>
      </c>
      <c r="S27" s="29" t="s">
        <v>15</v>
      </c>
      <c r="T27" s="29" t="s">
        <v>15</v>
      </c>
      <c r="U27" s="29" t="s">
        <v>16</v>
      </c>
      <c r="V27" s="29" t="s">
        <v>15</v>
      </c>
      <c r="W27" s="29" t="s">
        <v>15</v>
      </c>
      <c r="X27" s="22">
        <f t="shared" si="1"/>
        <v>0.9</v>
      </c>
      <c r="Y27" s="16" t="s">
        <v>15</v>
      </c>
      <c r="Z27" s="16" t="s">
        <v>15</v>
      </c>
      <c r="AA27" s="16" t="s">
        <v>15</v>
      </c>
      <c r="AB27" s="16" t="s">
        <v>15</v>
      </c>
      <c r="AC27" s="16" t="s">
        <v>15</v>
      </c>
      <c r="AD27" s="16" t="s">
        <v>15</v>
      </c>
      <c r="AE27" s="16" t="s">
        <v>15</v>
      </c>
      <c r="AF27" s="16" t="s">
        <v>15</v>
      </c>
      <c r="AG27" s="16" t="s">
        <v>16</v>
      </c>
      <c r="AH27" s="16" t="s">
        <v>16</v>
      </c>
      <c r="AI27" s="16" t="s">
        <v>15</v>
      </c>
      <c r="AJ27" s="16" t="s">
        <v>15</v>
      </c>
      <c r="AK27" s="16" t="s">
        <v>15</v>
      </c>
      <c r="AL27" s="16" t="s">
        <v>15</v>
      </c>
      <c r="AM27" s="16" t="s">
        <v>15</v>
      </c>
      <c r="AN27" s="16" t="s">
        <v>15</v>
      </c>
      <c r="AO27" s="16" t="s">
        <v>15</v>
      </c>
      <c r="AP27" s="16" t="s">
        <v>15</v>
      </c>
      <c r="AQ27" s="16" t="s">
        <v>15</v>
      </c>
      <c r="AR27" s="16" t="s">
        <v>15</v>
      </c>
      <c r="AS27" s="22">
        <f t="shared" si="2"/>
        <v>0.9</v>
      </c>
      <c r="AT27" s="16" t="s">
        <v>15</v>
      </c>
      <c r="AU27" s="16" t="s">
        <v>15</v>
      </c>
      <c r="AV27" s="16" t="s">
        <v>15</v>
      </c>
      <c r="AW27" s="16" t="s">
        <v>15</v>
      </c>
      <c r="AX27" s="16" t="s">
        <v>15</v>
      </c>
      <c r="AY27" s="16" t="s">
        <v>15</v>
      </c>
      <c r="AZ27" s="16" t="s">
        <v>15</v>
      </c>
      <c r="BA27" s="22">
        <f t="shared" si="3"/>
        <v>1</v>
      </c>
      <c r="BB27" s="261" t="s">
        <v>15</v>
      </c>
      <c r="BC27" s="16" t="s">
        <v>15</v>
      </c>
      <c r="BD27" s="261" t="s">
        <v>15</v>
      </c>
      <c r="BE27" s="261" t="s">
        <v>15</v>
      </c>
      <c r="BF27" s="261" t="s">
        <v>16</v>
      </c>
      <c r="BG27" s="16" t="s">
        <v>15</v>
      </c>
      <c r="BH27" s="154" t="s">
        <v>15</v>
      </c>
      <c r="BI27" s="154" t="s">
        <v>15</v>
      </c>
      <c r="BJ27" s="154" t="s">
        <v>15</v>
      </c>
      <c r="BK27" s="285" t="s">
        <v>15</v>
      </c>
      <c r="BL27" s="154" t="s">
        <v>15</v>
      </c>
      <c r="BM27" s="154" t="s">
        <v>15</v>
      </c>
      <c r="BN27" s="16" t="s">
        <v>15</v>
      </c>
      <c r="BO27" s="261" t="s">
        <v>15</v>
      </c>
      <c r="BP27" s="261" t="s">
        <v>15</v>
      </c>
      <c r="BQ27" s="208" t="s">
        <v>15</v>
      </c>
      <c r="BR27" s="263" t="s">
        <v>15</v>
      </c>
      <c r="BS27" s="16" t="s">
        <v>16</v>
      </c>
      <c r="BT27" s="261" t="s">
        <v>15</v>
      </c>
      <c r="BU27" s="16" t="s">
        <v>15</v>
      </c>
      <c r="BV27" s="16" t="s">
        <v>15</v>
      </c>
      <c r="BW27" s="267" t="s">
        <v>15</v>
      </c>
      <c r="BX27" s="22">
        <f t="shared" si="4"/>
        <v>0.9090909091</v>
      </c>
      <c r="BY27" s="107" t="s">
        <v>15</v>
      </c>
    </row>
    <row r="28">
      <c r="A28" s="206">
        <v>24.0</v>
      </c>
      <c r="B28" s="246"/>
      <c r="C28" s="245"/>
      <c r="D28" s="288" t="s">
        <v>15</v>
      </c>
      <c r="E28" s="288" t="s">
        <v>16</v>
      </c>
      <c r="F28" s="288" t="s">
        <v>15</v>
      </c>
      <c r="G28" s="16" t="s">
        <v>15</v>
      </c>
      <c r="H28" s="16" t="s">
        <v>15</v>
      </c>
      <c r="I28" s="16" t="s">
        <v>15</v>
      </c>
      <c r="J28" s="16" t="s">
        <v>15</v>
      </c>
      <c r="K28" s="16" t="s">
        <v>15</v>
      </c>
      <c r="L28" s="16" t="s">
        <v>15</v>
      </c>
      <c r="M28" s="16" t="s">
        <v>15</v>
      </c>
      <c r="N28" s="16" t="s">
        <v>15</v>
      </c>
      <c r="O28" s="16" t="s">
        <v>15</v>
      </c>
      <c r="P28" s="16" t="s">
        <v>15</v>
      </c>
      <c r="Q28" s="16" t="s">
        <v>15</v>
      </c>
      <c r="R28" s="260" t="s">
        <v>15</v>
      </c>
      <c r="S28" s="29" t="s">
        <v>15</v>
      </c>
      <c r="T28" s="29" t="s">
        <v>15</v>
      </c>
      <c r="U28" s="29" t="s">
        <v>15</v>
      </c>
      <c r="V28" s="29" t="s">
        <v>15</v>
      </c>
      <c r="W28" s="29" t="s">
        <v>15</v>
      </c>
      <c r="X28" s="22">
        <f t="shared" si="1"/>
        <v>0.95</v>
      </c>
      <c r="Y28" s="16" t="s">
        <v>15</v>
      </c>
      <c r="Z28" s="16" t="s">
        <v>15</v>
      </c>
      <c r="AA28" s="16" t="s">
        <v>15</v>
      </c>
      <c r="AB28" s="16" t="s">
        <v>15</v>
      </c>
      <c r="AC28" s="16" t="s">
        <v>15</v>
      </c>
      <c r="AD28" s="16" t="s">
        <v>15</v>
      </c>
      <c r="AE28" s="16" t="s">
        <v>15</v>
      </c>
      <c r="AF28" s="16" t="s">
        <v>15</v>
      </c>
      <c r="AG28" s="16" t="s">
        <v>15</v>
      </c>
      <c r="AH28" s="16" t="s">
        <v>16</v>
      </c>
      <c r="AI28" s="16" t="s">
        <v>15</v>
      </c>
      <c r="AJ28" s="16" t="s">
        <v>15</v>
      </c>
      <c r="AK28" s="16" t="s">
        <v>15</v>
      </c>
      <c r="AL28" s="16" t="s">
        <v>15</v>
      </c>
      <c r="AM28" s="16" t="s">
        <v>15</v>
      </c>
      <c r="AN28" s="16" t="s">
        <v>16</v>
      </c>
      <c r="AO28" s="16" t="s">
        <v>15</v>
      </c>
      <c r="AP28" s="16" t="s">
        <v>15</v>
      </c>
      <c r="AQ28" s="16" t="s">
        <v>15</v>
      </c>
      <c r="AR28" s="16" t="s">
        <v>16</v>
      </c>
      <c r="AS28" s="22">
        <f t="shared" si="2"/>
        <v>0.85</v>
      </c>
      <c r="AT28" s="16" t="s">
        <v>15</v>
      </c>
      <c r="AU28" s="16" t="s">
        <v>15</v>
      </c>
      <c r="AV28" s="16" t="s">
        <v>15</v>
      </c>
      <c r="AW28" s="16" t="s">
        <v>15</v>
      </c>
      <c r="AX28" s="16" t="s">
        <v>15</v>
      </c>
      <c r="AY28" s="16" t="s">
        <v>15</v>
      </c>
      <c r="AZ28" s="16" t="s">
        <v>15</v>
      </c>
      <c r="BA28" s="22">
        <f t="shared" si="3"/>
        <v>1</v>
      </c>
      <c r="BB28" s="261" t="s">
        <v>15</v>
      </c>
      <c r="BC28" s="16" t="s">
        <v>15</v>
      </c>
      <c r="BD28" s="261" t="s">
        <v>15</v>
      </c>
      <c r="BE28" s="261" t="s">
        <v>15</v>
      </c>
      <c r="BF28" s="261" t="s">
        <v>16</v>
      </c>
      <c r="BG28" s="154" t="s">
        <v>15</v>
      </c>
      <c r="BH28" s="154" t="s">
        <v>15</v>
      </c>
      <c r="BI28" s="154" t="s">
        <v>15</v>
      </c>
      <c r="BJ28" s="154" t="s">
        <v>15</v>
      </c>
      <c r="BK28" s="285" t="s">
        <v>15</v>
      </c>
      <c r="BL28" s="154" t="s">
        <v>15</v>
      </c>
      <c r="BM28" s="154" t="s">
        <v>15</v>
      </c>
      <c r="BN28" s="16" t="s">
        <v>15</v>
      </c>
      <c r="BO28" s="261" t="s">
        <v>15</v>
      </c>
      <c r="BP28" s="261" t="s">
        <v>15</v>
      </c>
      <c r="BQ28" s="208" t="s">
        <v>15</v>
      </c>
      <c r="BR28" s="266" t="s">
        <v>15</v>
      </c>
      <c r="BS28" s="16" t="s">
        <v>15</v>
      </c>
      <c r="BT28" s="264" t="s">
        <v>16</v>
      </c>
      <c r="BU28" s="16" t="s">
        <v>15</v>
      </c>
      <c r="BV28" s="16" t="s">
        <v>16</v>
      </c>
      <c r="BW28" s="289" t="s">
        <v>15</v>
      </c>
      <c r="BX28" s="22">
        <f t="shared" si="4"/>
        <v>0.8636363636</v>
      </c>
      <c r="BY28" s="107" t="s">
        <v>15</v>
      </c>
    </row>
    <row r="29">
      <c r="A29" s="206">
        <v>25.0</v>
      </c>
      <c r="B29" s="55"/>
      <c r="C29" s="26"/>
      <c r="D29" s="24" t="s">
        <v>16</v>
      </c>
      <c r="E29" s="24" t="s">
        <v>15</v>
      </c>
      <c r="F29" s="24" t="s">
        <v>15</v>
      </c>
      <c r="G29" s="16" t="s">
        <v>15</v>
      </c>
      <c r="H29" s="16" t="s">
        <v>15</v>
      </c>
      <c r="I29" s="16" t="s">
        <v>15</v>
      </c>
      <c r="J29" s="16" t="s">
        <v>15</v>
      </c>
      <c r="K29" s="16" t="s">
        <v>15</v>
      </c>
      <c r="L29" s="16" t="s">
        <v>15</v>
      </c>
      <c r="M29" s="16" t="s">
        <v>15</v>
      </c>
      <c r="N29" s="16" t="s">
        <v>15</v>
      </c>
      <c r="O29" s="16" t="s">
        <v>16</v>
      </c>
      <c r="P29" s="16" t="s">
        <v>15</v>
      </c>
      <c r="Q29" s="16" t="s">
        <v>15</v>
      </c>
      <c r="R29" s="53" t="s">
        <v>16</v>
      </c>
      <c r="S29" s="29" t="s">
        <v>16</v>
      </c>
      <c r="T29" s="29" t="s">
        <v>15</v>
      </c>
      <c r="U29" s="29" t="s">
        <v>15</v>
      </c>
      <c r="V29" s="29" t="s">
        <v>15</v>
      </c>
      <c r="W29" s="29" t="s">
        <v>16</v>
      </c>
      <c r="X29" s="22">
        <f t="shared" si="1"/>
        <v>0.75</v>
      </c>
      <c r="Y29" s="16" t="s">
        <v>15</v>
      </c>
      <c r="Z29" s="16" t="s">
        <v>15</v>
      </c>
      <c r="AA29" s="16" t="s">
        <v>16</v>
      </c>
      <c r="AB29" s="16" t="s">
        <v>15</v>
      </c>
      <c r="AC29" s="16" t="s">
        <v>16</v>
      </c>
      <c r="AD29" s="16" t="s">
        <v>15</v>
      </c>
      <c r="AE29" s="16" t="s">
        <v>15</v>
      </c>
      <c r="AF29" s="16" t="s">
        <v>16</v>
      </c>
      <c r="AG29" s="16" t="s">
        <v>16</v>
      </c>
      <c r="AH29" s="16" t="s">
        <v>15</v>
      </c>
      <c r="AI29" s="16" t="s">
        <v>16</v>
      </c>
      <c r="AJ29" s="16" t="s">
        <v>15</v>
      </c>
      <c r="AK29" s="16" t="s">
        <v>15</v>
      </c>
      <c r="AL29" s="16" t="s">
        <v>15</v>
      </c>
      <c r="AM29" s="16" t="s">
        <v>15</v>
      </c>
      <c r="AN29" s="16" t="s">
        <v>16</v>
      </c>
      <c r="AO29" s="16" t="s">
        <v>15</v>
      </c>
      <c r="AP29" s="16" t="s">
        <v>16</v>
      </c>
      <c r="AQ29" s="16" t="s">
        <v>15</v>
      </c>
      <c r="AR29" s="16" t="s">
        <v>15</v>
      </c>
      <c r="AS29" s="22">
        <f t="shared" si="2"/>
        <v>0.65</v>
      </c>
      <c r="AT29" s="16" t="s">
        <v>16</v>
      </c>
      <c r="AU29" s="16" t="s">
        <v>15</v>
      </c>
      <c r="AV29" s="16" t="s">
        <v>15</v>
      </c>
      <c r="AW29" s="16" t="s">
        <v>16</v>
      </c>
      <c r="AX29" s="16" t="s">
        <v>15</v>
      </c>
      <c r="AY29" s="16" t="s">
        <v>15</v>
      </c>
      <c r="AZ29" s="16" t="s">
        <v>16</v>
      </c>
      <c r="BA29" s="22">
        <f t="shared" si="3"/>
        <v>0.5714285714</v>
      </c>
      <c r="BB29" s="261" t="s">
        <v>15</v>
      </c>
      <c r="BC29" s="16" t="s">
        <v>15</v>
      </c>
      <c r="BD29" s="261" t="s">
        <v>15</v>
      </c>
      <c r="BE29" s="261" t="s">
        <v>16</v>
      </c>
      <c r="BF29" s="261" t="s">
        <v>16</v>
      </c>
      <c r="BG29" s="154" t="s">
        <v>15</v>
      </c>
      <c r="BH29" s="154" t="s">
        <v>15</v>
      </c>
      <c r="BI29" s="154" t="s">
        <v>15</v>
      </c>
      <c r="BJ29" s="154" t="s">
        <v>15</v>
      </c>
      <c r="BK29" s="204" t="s">
        <v>16</v>
      </c>
      <c r="BL29" s="154" t="s">
        <v>15</v>
      </c>
      <c r="BM29" s="154" t="s">
        <v>15</v>
      </c>
      <c r="BN29" s="16" t="s">
        <v>15</v>
      </c>
      <c r="BO29" s="261" t="s">
        <v>16</v>
      </c>
      <c r="BP29" s="261" t="s">
        <v>15</v>
      </c>
      <c r="BQ29" s="208" t="s">
        <v>15</v>
      </c>
      <c r="BR29" s="263" t="s">
        <v>15</v>
      </c>
      <c r="BS29" s="16" t="s">
        <v>15</v>
      </c>
      <c r="BT29" s="261" t="s">
        <v>15</v>
      </c>
      <c r="BU29" s="16" t="s">
        <v>15</v>
      </c>
      <c r="BV29" s="16" t="s">
        <v>15</v>
      </c>
      <c r="BW29" s="267" t="s">
        <v>15</v>
      </c>
      <c r="BX29" s="22">
        <f t="shared" si="4"/>
        <v>0.8181818182</v>
      </c>
      <c r="BY29" s="107" t="s">
        <v>15</v>
      </c>
    </row>
    <row r="30">
      <c r="A30" s="206">
        <v>26.0</v>
      </c>
      <c r="B30" s="226"/>
      <c r="C30" s="245"/>
      <c r="D30" s="288" t="s">
        <v>16</v>
      </c>
      <c r="E30" s="288" t="s">
        <v>16</v>
      </c>
      <c r="F30" s="288" t="s">
        <v>15</v>
      </c>
      <c r="G30" s="16" t="s">
        <v>15</v>
      </c>
      <c r="H30" s="16" t="s">
        <v>16</v>
      </c>
      <c r="I30" s="16" t="s">
        <v>16</v>
      </c>
      <c r="J30" s="16" t="s">
        <v>15</v>
      </c>
      <c r="K30" s="16" t="s">
        <v>15</v>
      </c>
      <c r="L30" s="16" t="s">
        <v>16</v>
      </c>
      <c r="M30" s="16" t="s">
        <v>15</v>
      </c>
      <c r="N30" s="16" t="s">
        <v>15</v>
      </c>
      <c r="O30" s="16" t="s">
        <v>15</v>
      </c>
      <c r="P30" s="16" t="s">
        <v>15</v>
      </c>
      <c r="Q30" s="16" t="s">
        <v>15</v>
      </c>
      <c r="R30" s="53" t="s">
        <v>15</v>
      </c>
      <c r="S30" s="29" t="s">
        <v>15</v>
      </c>
      <c r="T30" s="29" t="s">
        <v>15</v>
      </c>
      <c r="U30" s="29" t="s">
        <v>15</v>
      </c>
      <c r="V30" s="29" t="s">
        <v>15</v>
      </c>
      <c r="W30" s="29" t="s">
        <v>15</v>
      </c>
      <c r="X30" s="22">
        <f t="shared" si="1"/>
        <v>0.75</v>
      </c>
      <c r="Y30" s="16" t="s">
        <v>16</v>
      </c>
      <c r="Z30" s="16" t="s">
        <v>15</v>
      </c>
      <c r="AA30" s="16" t="s">
        <v>15</v>
      </c>
      <c r="AB30" s="16" t="s">
        <v>15</v>
      </c>
      <c r="AC30" s="16" t="s">
        <v>15</v>
      </c>
      <c r="AD30" s="16" t="s">
        <v>15</v>
      </c>
      <c r="AE30" s="16" t="s">
        <v>15</v>
      </c>
      <c r="AF30" s="16" t="s">
        <v>15</v>
      </c>
      <c r="AG30" s="16" t="s">
        <v>16</v>
      </c>
      <c r="AH30" s="16" t="s">
        <v>15</v>
      </c>
      <c r="AI30" s="16" t="s">
        <v>15</v>
      </c>
      <c r="AJ30" s="16" t="s">
        <v>15</v>
      </c>
      <c r="AK30" s="16" t="s">
        <v>15</v>
      </c>
      <c r="AL30" s="16" t="s">
        <v>15</v>
      </c>
      <c r="AM30" s="16" t="s">
        <v>15</v>
      </c>
      <c r="AN30" s="16" t="s">
        <v>16</v>
      </c>
      <c r="AO30" s="16" t="s">
        <v>15</v>
      </c>
      <c r="AP30" s="16" t="s">
        <v>15</v>
      </c>
      <c r="AQ30" s="16" t="s">
        <v>16</v>
      </c>
      <c r="AR30" s="16" t="s">
        <v>16</v>
      </c>
      <c r="AS30" s="22">
        <f t="shared" si="2"/>
        <v>0.75</v>
      </c>
      <c r="AT30" s="16" t="s">
        <v>16</v>
      </c>
      <c r="AU30" s="16" t="s">
        <v>15</v>
      </c>
      <c r="AV30" s="16" t="s">
        <v>15</v>
      </c>
      <c r="AW30" s="16" t="s">
        <v>15</v>
      </c>
      <c r="AX30" s="16" t="s">
        <v>15</v>
      </c>
      <c r="AY30" s="16" t="s">
        <v>15</v>
      </c>
      <c r="AZ30" s="16" t="s">
        <v>16</v>
      </c>
      <c r="BA30" s="22">
        <f t="shared" si="3"/>
        <v>0.7142857143</v>
      </c>
      <c r="BB30" s="261" t="s">
        <v>15</v>
      </c>
      <c r="BC30" s="16" t="s">
        <v>15</v>
      </c>
      <c r="BD30" s="261" t="s">
        <v>15</v>
      </c>
      <c r="BE30" s="261" t="s">
        <v>15</v>
      </c>
      <c r="BF30" s="261" t="s">
        <v>16</v>
      </c>
      <c r="BG30" s="154" t="s">
        <v>15</v>
      </c>
      <c r="BH30" s="154" t="s">
        <v>16</v>
      </c>
      <c r="BI30" s="154" t="s">
        <v>15</v>
      </c>
      <c r="BJ30" s="154" t="s">
        <v>15</v>
      </c>
      <c r="BK30" s="285" t="s">
        <v>15</v>
      </c>
      <c r="BL30" s="154" t="s">
        <v>16</v>
      </c>
      <c r="BM30" s="154" t="s">
        <v>15</v>
      </c>
      <c r="BN30" s="16" t="s">
        <v>15</v>
      </c>
      <c r="BO30" s="261" t="s">
        <v>15</v>
      </c>
      <c r="BP30" s="261" t="s">
        <v>15</v>
      </c>
      <c r="BQ30" s="208" t="s">
        <v>15</v>
      </c>
      <c r="BR30" s="208" t="s">
        <v>15</v>
      </c>
      <c r="BS30" s="16" t="s">
        <v>15</v>
      </c>
      <c r="BT30" s="264" t="s">
        <v>16</v>
      </c>
      <c r="BU30" s="16" t="s">
        <v>15</v>
      </c>
      <c r="BV30" s="16" t="s">
        <v>16</v>
      </c>
      <c r="BW30" s="267" t="s">
        <v>15</v>
      </c>
      <c r="BX30" s="22">
        <f t="shared" si="4"/>
        <v>0.7727272727</v>
      </c>
      <c r="BY30" s="107" t="s">
        <v>15</v>
      </c>
    </row>
    <row r="31">
      <c r="A31" s="206">
        <v>27.0</v>
      </c>
      <c r="B31" s="291"/>
      <c r="C31" s="26"/>
      <c r="D31" s="24" t="s">
        <v>15</v>
      </c>
      <c r="E31" s="24" t="s">
        <v>16</v>
      </c>
      <c r="F31" s="24" t="s">
        <v>15</v>
      </c>
      <c r="G31" s="16" t="s">
        <v>15</v>
      </c>
      <c r="H31" s="16" t="s">
        <v>16</v>
      </c>
      <c r="I31" s="16" t="s">
        <v>15</v>
      </c>
      <c r="J31" s="16" t="s">
        <v>15</v>
      </c>
      <c r="K31" s="16" t="s">
        <v>15</v>
      </c>
      <c r="L31" s="16" t="s">
        <v>15</v>
      </c>
      <c r="M31" s="16" t="s">
        <v>16</v>
      </c>
      <c r="N31" s="16" t="s">
        <v>15</v>
      </c>
      <c r="O31" s="16" t="s">
        <v>16</v>
      </c>
      <c r="P31" s="16" t="s">
        <v>15</v>
      </c>
      <c r="Q31" s="16" t="s">
        <v>15</v>
      </c>
      <c r="R31" s="260" t="s">
        <v>15</v>
      </c>
      <c r="S31" s="29" t="s">
        <v>15</v>
      </c>
      <c r="T31" s="29" t="s">
        <v>15</v>
      </c>
      <c r="U31" s="29" t="s">
        <v>15</v>
      </c>
      <c r="V31" s="29" t="s">
        <v>15</v>
      </c>
      <c r="W31" s="29" t="s">
        <v>15</v>
      </c>
      <c r="X31" s="22">
        <f t="shared" si="1"/>
        <v>0.8</v>
      </c>
      <c r="Y31" s="16" t="s">
        <v>15</v>
      </c>
      <c r="Z31" s="16" t="s">
        <v>15</v>
      </c>
      <c r="AA31" s="16" t="s">
        <v>16</v>
      </c>
      <c r="AB31" s="16" t="s">
        <v>15</v>
      </c>
      <c r="AC31" s="16" t="s">
        <v>15</v>
      </c>
      <c r="AD31" s="16" t="s">
        <v>15</v>
      </c>
      <c r="AE31" s="16" t="s">
        <v>15</v>
      </c>
      <c r="AF31" s="16" t="s">
        <v>15</v>
      </c>
      <c r="AG31" s="16" t="s">
        <v>15</v>
      </c>
      <c r="AH31" s="16" t="s">
        <v>16</v>
      </c>
      <c r="AI31" s="16" t="s">
        <v>15</v>
      </c>
      <c r="AJ31" s="16" t="s">
        <v>15</v>
      </c>
      <c r="AK31" s="16" t="s">
        <v>16</v>
      </c>
      <c r="AL31" s="16" t="s">
        <v>16</v>
      </c>
      <c r="AM31" s="16" t="s">
        <v>16</v>
      </c>
      <c r="AN31" s="16" t="s">
        <v>15</v>
      </c>
      <c r="AO31" s="16" t="s">
        <v>15</v>
      </c>
      <c r="AP31" s="16" t="s">
        <v>15</v>
      </c>
      <c r="AQ31" s="16" t="s">
        <v>16</v>
      </c>
      <c r="AR31" s="16" t="s">
        <v>15</v>
      </c>
      <c r="AS31" s="22">
        <f t="shared" si="2"/>
        <v>0.7</v>
      </c>
      <c r="AT31" s="16" t="s">
        <v>15</v>
      </c>
      <c r="AU31" s="16" t="s">
        <v>15</v>
      </c>
      <c r="AV31" s="16" t="s">
        <v>15</v>
      </c>
      <c r="AW31" s="16" t="s">
        <v>15</v>
      </c>
      <c r="AX31" s="16" t="s">
        <v>15</v>
      </c>
      <c r="AY31" s="16" t="s">
        <v>15</v>
      </c>
      <c r="AZ31" s="16" t="s">
        <v>15</v>
      </c>
      <c r="BA31" s="22">
        <f t="shared" si="3"/>
        <v>1</v>
      </c>
      <c r="BB31" s="261" t="s">
        <v>16</v>
      </c>
      <c r="BC31" s="16" t="s">
        <v>15</v>
      </c>
      <c r="BD31" s="261" t="s">
        <v>15</v>
      </c>
      <c r="BE31" s="261" t="s">
        <v>15</v>
      </c>
      <c r="BF31" s="261" t="s">
        <v>16</v>
      </c>
      <c r="BG31" s="154" t="s">
        <v>15</v>
      </c>
      <c r="BH31" s="154" t="s">
        <v>16</v>
      </c>
      <c r="BI31" s="154" t="s">
        <v>15</v>
      </c>
      <c r="BJ31" s="154" t="s">
        <v>16</v>
      </c>
      <c r="BK31" s="285" t="s">
        <v>15</v>
      </c>
      <c r="BL31" s="154" t="s">
        <v>15</v>
      </c>
      <c r="BM31" s="154" t="s">
        <v>15</v>
      </c>
      <c r="BN31" s="16" t="s">
        <v>15</v>
      </c>
      <c r="BO31" s="261" t="s">
        <v>15</v>
      </c>
      <c r="BP31" s="261" t="s">
        <v>15</v>
      </c>
      <c r="BQ31" s="208" t="s">
        <v>15</v>
      </c>
      <c r="BR31" s="208" t="s">
        <v>15</v>
      </c>
      <c r="BS31" s="16" t="s">
        <v>15</v>
      </c>
      <c r="BT31" s="264" t="s">
        <v>16</v>
      </c>
      <c r="BU31" s="16" t="s">
        <v>15</v>
      </c>
      <c r="BV31" s="16" t="s">
        <v>16</v>
      </c>
      <c r="BW31" s="269" t="s">
        <v>16</v>
      </c>
      <c r="BX31" s="22">
        <f t="shared" si="4"/>
        <v>0.6818181818</v>
      </c>
      <c r="BY31" s="107" t="s">
        <v>15</v>
      </c>
    </row>
    <row r="32">
      <c r="A32" s="206">
        <v>28.0</v>
      </c>
      <c r="B32" s="292"/>
      <c r="C32" s="245"/>
      <c r="D32" s="288" t="s">
        <v>16</v>
      </c>
      <c r="E32" s="288" t="s">
        <v>15</v>
      </c>
      <c r="F32" s="288" t="s">
        <v>15</v>
      </c>
      <c r="G32" s="16" t="s">
        <v>15</v>
      </c>
      <c r="H32" s="16" t="s">
        <v>15</v>
      </c>
      <c r="I32" s="16" t="s">
        <v>15</v>
      </c>
      <c r="J32" s="16" t="s">
        <v>15</v>
      </c>
      <c r="K32" s="16" t="s">
        <v>15</v>
      </c>
      <c r="L32" s="16" t="s">
        <v>15</v>
      </c>
      <c r="M32" s="16" t="s">
        <v>16</v>
      </c>
      <c r="N32" s="16" t="s">
        <v>15</v>
      </c>
      <c r="O32" s="16" t="s">
        <v>15</v>
      </c>
      <c r="P32" s="16" t="s">
        <v>15</v>
      </c>
      <c r="Q32" s="16" t="s">
        <v>15</v>
      </c>
      <c r="R32" s="53" t="s">
        <v>15</v>
      </c>
      <c r="S32" s="29" t="s">
        <v>15</v>
      </c>
      <c r="T32" s="29" t="s">
        <v>16</v>
      </c>
      <c r="U32" s="29" t="s">
        <v>15</v>
      </c>
      <c r="V32" s="29" t="s">
        <v>15</v>
      </c>
      <c r="W32" s="29" t="s">
        <v>15</v>
      </c>
      <c r="X32" s="22">
        <f t="shared" si="1"/>
        <v>0.85</v>
      </c>
      <c r="Y32" s="16" t="s">
        <v>16</v>
      </c>
      <c r="Z32" s="16" t="s">
        <v>15</v>
      </c>
      <c r="AA32" s="16" t="s">
        <v>15</v>
      </c>
      <c r="AB32" s="16" t="s">
        <v>15</v>
      </c>
      <c r="AC32" s="16" t="s">
        <v>15</v>
      </c>
      <c r="AD32" s="16" t="s">
        <v>15</v>
      </c>
      <c r="AE32" s="16" t="s">
        <v>15</v>
      </c>
      <c r="AF32" s="16" t="s">
        <v>15</v>
      </c>
      <c r="AG32" s="16" t="s">
        <v>16</v>
      </c>
      <c r="AH32" s="16" t="s">
        <v>15</v>
      </c>
      <c r="AI32" s="16" t="s">
        <v>15</v>
      </c>
      <c r="AJ32" s="16" t="s">
        <v>15</v>
      </c>
      <c r="AK32" s="16" t="s">
        <v>15</v>
      </c>
      <c r="AL32" s="16" t="s">
        <v>15</v>
      </c>
      <c r="AM32" s="16" t="s">
        <v>15</v>
      </c>
      <c r="AN32" s="16" t="s">
        <v>15</v>
      </c>
      <c r="AO32" s="16" t="s">
        <v>15</v>
      </c>
      <c r="AP32" s="16" t="s">
        <v>16</v>
      </c>
      <c r="AQ32" s="16" t="s">
        <v>16</v>
      </c>
      <c r="AR32" s="16" t="s">
        <v>15</v>
      </c>
      <c r="AS32" s="22">
        <f t="shared" si="2"/>
        <v>0.8</v>
      </c>
      <c r="AT32" s="16" t="s">
        <v>15</v>
      </c>
      <c r="AU32" s="16" t="s">
        <v>15</v>
      </c>
      <c r="AV32" s="16" t="s">
        <v>15</v>
      </c>
      <c r="AW32" s="16" t="s">
        <v>16</v>
      </c>
      <c r="AX32" s="16" t="s">
        <v>16</v>
      </c>
      <c r="AY32" s="16" t="s">
        <v>16</v>
      </c>
      <c r="AZ32" s="16" t="s">
        <v>16</v>
      </c>
      <c r="BA32" s="22">
        <f t="shared" si="3"/>
        <v>0.4285714286</v>
      </c>
      <c r="BB32" s="261" t="s">
        <v>15</v>
      </c>
      <c r="BC32" s="16" t="s">
        <v>15</v>
      </c>
      <c r="BD32" s="261" t="s">
        <v>15</v>
      </c>
      <c r="BE32" s="261" t="s">
        <v>15</v>
      </c>
      <c r="BF32" s="261" t="s">
        <v>16</v>
      </c>
      <c r="BG32" s="154" t="s">
        <v>16</v>
      </c>
      <c r="BH32" s="154" t="s">
        <v>15</v>
      </c>
      <c r="BI32" s="154" t="s">
        <v>15</v>
      </c>
      <c r="BJ32" s="154" t="s">
        <v>16</v>
      </c>
      <c r="BK32" s="204" t="s">
        <v>16</v>
      </c>
      <c r="BL32" s="154" t="s">
        <v>15</v>
      </c>
      <c r="BM32" s="154" t="s">
        <v>15</v>
      </c>
      <c r="BN32" s="16" t="s">
        <v>16</v>
      </c>
      <c r="BO32" s="261" t="s">
        <v>15</v>
      </c>
      <c r="BP32" s="261" t="s">
        <v>15</v>
      </c>
      <c r="BQ32" s="208" t="s">
        <v>15</v>
      </c>
      <c r="BR32" s="208" t="s">
        <v>15</v>
      </c>
      <c r="BS32" s="16" t="s">
        <v>15</v>
      </c>
      <c r="BT32" s="261" t="s">
        <v>15</v>
      </c>
      <c r="BU32" s="16" t="s">
        <v>15</v>
      </c>
      <c r="BV32" s="16" t="s">
        <v>16</v>
      </c>
      <c r="BW32" s="267" t="s">
        <v>15</v>
      </c>
      <c r="BX32" s="22">
        <f t="shared" si="4"/>
        <v>0.7272727273</v>
      </c>
      <c r="BY32" s="107" t="s">
        <v>15</v>
      </c>
    </row>
    <row r="33">
      <c r="A33" s="294">
        <v>29.0</v>
      </c>
      <c r="B33" s="250"/>
      <c r="C33" s="26"/>
      <c r="D33" s="24" t="s">
        <v>16</v>
      </c>
      <c r="E33" s="24" t="s">
        <v>15</v>
      </c>
      <c r="F33" s="24" t="s">
        <v>15</v>
      </c>
      <c r="G33" s="16" t="s">
        <v>15</v>
      </c>
      <c r="H33" s="16" t="s">
        <v>15</v>
      </c>
      <c r="I33" s="16" t="s">
        <v>15</v>
      </c>
      <c r="J33" s="16" t="s">
        <v>15</v>
      </c>
      <c r="K33" s="16" t="s">
        <v>15</v>
      </c>
      <c r="L33" s="16" t="s">
        <v>15</v>
      </c>
      <c r="M33" s="16" t="s">
        <v>15</v>
      </c>
      <c r="N33" s="16" t="s">
        <v>15</v>
      </c>
      <c r="O33" s="16" t="s">
        <v>15</v>
      </c>
      <c r="P33" s="16" t="s">
        <v>15</v>
      </c>
      <c r="Q33" s="16" t="s">
        <v>15</v>
      </c>
      <c r="R33" s="295" t="s">
        <v>15</v>
      </c>
      <c r="S33" s="296" t="s">
        <v>15</v>
      </c>
      <c r="T33" s="296" t="s">
        <v>15</v>
      </c>
      <c r="U33" s="296" t="s">
        <v>15</v>
      </c>
      <c r="V33" s="29" t="s">
        <v>16</v>
      </c>
      <c r="W33" s="90" t="s">
        <v>15</v>
      </c>
      <c r="X33" s="22">
        <f t="shared" si="1"/>
        <v>0.9</v>
      </c>
      <c r="Y33" s="16" t="s">
        <v>15</v>
      </c>
      <c r="Z33" s="16" t="s">
        <v>15</v>
      </c>
      <c r="AA33" s="16" t="s">
        <v>15</v>
      </c>
      <c r="AB33" s="16" t="s">
        <v>15</v>
      </c>
      <c r="AC33" s="16" t="s">
        <v>15</v>
      </c>
      <c r="AD33" s="16" t="s">
        <v>15</v>
      </c>
      <c r="AE33" s="16" t="s">
        <v>15</v>
      </c>
      <c r="AF33" s="16" t="s">
        <v>15</v>
      </c>
      <c r="AG33" s="16" t="s">
        <v>15</v>
      </c>
      <c r="AH33" s="16" t="s">
        <v>15</v>
      </c>
      <c r="AI33" s="16" t="s">
        <v>15</v>
      </c>
      <c r="AJ33" s="16" t="s">
        <v>15</v>
      </c>
      <c r="AK33" s="16" t="s">
        <v>15</v>
      </c>
      <c r="AL33" s="16" t="s">
        <v>15</v>
      </c>
      <c r="AM33" s="16" t="s">
        <v>15</v>
      </c>
      <c r="AN33" s="16" t="s">
        <v>15</v>
      </c>
      <c r="AO33" s="16" t="s">
        <v>15</v>
      </c>
      <c r="AP33" s="16" t="s">
        <v>15</v>
      </c>
      <c r="AQ33" s="16" t="s">
        <v>15</v>
      </c>
      <c r="AR33" s="16" t="s">
        <v>15</v>
      </c>
      <c r="AS33" s="22">
        <f t="shared" si="2"/>
        <v>1</v>
      </c>
      <c r="AT33" s="16" t="s">
        <v>15</v>
      </c>
      <c r="AU33" s="16" t="s">
        <v>15</v>
      </c>
      <c r="AV33" s="16" t="s">
        <v>15</v>
      </c>
      <c r="AW33" s="16" t="s">
        <v>15</v>
      </c>
      <c r="AX33" s="16" t="s">
        <v>15</v>
      </c>
      <c r="AY33" s="16" t="s">
        <v>15</v>
      </c>
      <c r="AZ33" s="16" t="s">
        <v>15</v>
      </c>
      <c r="BA33" s="22">
        <f t="shared" si="3"/>
        <v>1</v>
      </c>
      <c r="BB33" s="261" t="s">
        <v>15</v>
      </c>
      <c r="BC33" s="16" t="s">
        <v>15</v>
      </c>
      <c r="BD33" s="261" t="s">
        <v>15</v>
      </c>
      <c r="BE33" s="261" t="s">
        <v>15</v>
      </c>
      <c r="BF33" s="261" t="s">
        <v>16</v>
      </c>
      <c r="BG33" s="154" t="s">
        <v>16</v>
      </c>
      <c r="BH33" s="154" t="s">
        <v>15</v>
      </c>
      <c r="BI33" s="154" t="s">
        <v>15</v>
      </c>
      <c r="BJ33" s="154" t="s">
        <v>15</v>
      </c>
      <c r="BK33" s="285" t="s">
        <v>15</v>
      </c>
      <c r="BL33" s="154" t="s">
        <v>15</v>
      </c>
      <c r="BM33" s="154" t="s">
        <v>16</v>
      </c>
      <c r="BN33" s="16" t="s">
        <v>15</v>
      </c>
      <c r="BO33" s="261" t="s">
        <v>15</v>
      </c>
      <c r="BP33" s="261" t="s">
        <v>15</v>
      </c>
      <c r="BQ33" s="208" t="s">
        <v>15</v>
      </c>
      <c r="BR33" s="208" t="s">
        <v>15</v>
      </c>
      <c r="BS33" s="16" t="s">
        <v>15</v>
      </c>
      <c r="BT33" s="261" t="s">
        <v>15</v>
      </c>
      <c r="BU33" s="16" t="s">
        <v>15</v>
      </c>
      <c r="BV33" s="16" t="s">
        <v>15</v>
      </c>
      <c r="BW33" s="269" t="s">
        <v>16</v>
      </c>
      <c r="BX33" s="22">
        <f t="shared" si="4"/>
        <v>0.8181818182</v>
      </c>
      <c r="BY33" s="107" t="s">
        <v>15</v>
      </c>
    </row>
    <row r="34">
      <c r="A34" s="294">
        <v>30.0</v>
      </c>
      <c r="B34" s="226"/>
      <c r="C34" s="245"/>
      <c r="D34" s="288" t="s">
        <v>15</v>
      </c>
      <c r="E34" s="288" t="s">
        <v>16</v>
      </c>
      <c r="F34" s="288" t="s">
        <v>15</v>
      </c>
      <c r="G34" s="16" t="s">
        <v>15</v>
      </c>
      <c r="H34" s="16" t="s">
        <v>15</v>
      </c>
      <c r="I34" s="16" t="s">
        <v>16</v>
      </c>
      <c r="J34" s="16" t="s">
        <v>15</v>
      </c>
      <c r="K34" s="16" t="s">
        <v>15</v>
      </c>
      <c r="L34" s="16" t="s">
        <v>15</v>
      </c>
      <c r="M34" s="16" t="s">
        <v>16</v>
      </c>
      <c r="N34" s="16" t="s">
        <v>15</v>
      </c>
      <c r="O34" s="16" t="s">
        <v>15</v>
      </c>
      <c r="P34" s="16" t="s">
        <v>15</v>
      </c>
      <c r="Q34" s="16" t="s">
        <v>15</v>
      </c>
      <c r="R34" s="297" t="s">
        <v>16</v>
      </c>
      <c r="S34" s="298" t="s">
        <v>16</v>
      </c>
      <c r="T34" s="298" t="s">
        <v>16</v>
      </c>
      <c r="U34" s="298" t="s">
        <v>15</v>
      </c>
      <c r="V34" s="29" t="s">
        <v>15</v>
      </c>
      <c r="W34" s="90" t="s">
        <v>15</v>
      </c>
      <c r="X34" s="22">
        <f t="shared" si="1"/>
        <v>0.7</v>
      </c>
      <c r="Y34" s="16" t="s">
        <v>16</v>
      </c>
      <c r="Z34" s="16" t="s">
        <v>15</v>
      </c>
      <c r="AA34" s="16" t="s">
        <v>15</v>
      </c>
      <c r="AB34" s="16" t="s">
        <v>15</v>
      </c>
      <c r="AC34" s="16" t="s">
        <v>15</v>
      </c>
      <c r="AD34" s="16" t="s">
        <v>16</v>
      </c>
      <c r="AE34" s="16" t="s">
        <v>15</v>
      </c>
      <c r="AF34" s="16" t="s">
        <v>16</v>
      </c>
      <c r="AG34" s="16" t="s">
        <v>15</v>
      </c>
      <c r="AH34" s="16" t="s">
        <v>15</v>
      </c>
      <c r="AI34" s="16" t="s">
        <v>15</v>
      </c>
      <c r="AJ34" s="16" t="s">
        <v>15</v>
      </c>
      <c r="AK34" s="16" t="s">
        <v>15</v>
      </c>
      <c r="AL34" s="16" t="s">
        <v>15</v>
      </c>
      <c r="AM34" s="16" t="s">
        <v>15</v>
      </c>
      <c r="AN34" s="16" t="s">
        <v>15</v>
      </c>
      <c r="AO34" s="16" t="s">
        <v>15</v>
      </c>
      <c r="AP34" s="16" t="s">
        <v>16</v>
      </c>
      <c r="AQ34" s="16" t="s">
        <v>16</v>
      </c>
      <c r="AR34" s="16" t="s">
        <v>15</v>
      </c>
      <c r="AS34" s="22">
        <f t="shared" si="2"/>
        <v>0.75</v>
      </c>
      <c r="AT34" s="16" t="s">
        <v>15</v>
      </c>
      <c r="AU34" s="16" t="s">
        <v>15</v>
      </c>
      <c r="AV34" s="16" t="s">
        <v>15</v>
      </c>
      <c r="AW34" s="16" t="s">
        <v>15</v>
      </c>
      <c r="AX34" s="16" t="s">
        <v>15</v>
      </c>
      <c r="AY34" s="16" t="s">
        <v>16</v>
      </c>
      <c r="AZ34" s="16" t="s">
        <v>15</v>
      </c>
      <c r="BA34" s="22">
        <f t="shared" si="3"/>
        <v>0.8571428571</v>
      </c>
      <c r="BB34" s="261" t="s">
        <v>15</v>
      </c>
      <c r="BC34" s="16" t="s">
        <v>15</v>
      </c>
      <c r="BD34" s="261" t="s">
        <v>15</v>
      </c>
      <c r="BE34" s="261" t="s">
        <v>15</v>
      </c>
      <c r="BF34" s="264" t="s">
        <v>15</v>
      </c>
      <c r="BG34" s="154" t="s">
        <v>16</v>
      </c>
      <c r="BH34" s="154" t="s">
        <v>15</v>
      </c>
      <c r="BI34" s="154" t="s">
        <v>15</v>
      </c>
      <c r="BJ34" s="154" t="s">
        <v>15</v>
      </c>
      <c r="BK34" s="204" t="s">
        <v>16</v>
      </c>
      <c r="BL34" s="154" t="s">
        <v>15</v>
      </c>
      <c r="BM34" s="154" t="s">
        <v>15</v>
      </c>
      <c r="BN34" s="16" t="s">
        <v>15</v>
      </c>
      <c r="BO34" s="261" t="s">
        <v>15</v>
      </c>
      <c r="BP34" s="261" t="s">
        <v>15</v>
      </c>
      <c r="BQ34" s="208" t="s">
        <v>15</v>
      </c>
      <c r="BR34" s="208" t="s">
        <v>16</v>
      </c>
      <c r="BS34" s="16" t="s">
        <v>15</v>
      </c>
      <c r="BT34" s="261" t="s">
        <v>15</v>
      </c>
      <c r="BU34" s="16" t="s">
        <v>15</v>
      </c>
      <c r="BV34" s="16" t="s">
        <v>16</v>
      </c>
      <c r="BW34" s="267" t="s">
        <v>15</v>
      </c>
      <c r="BX34" s="22">
        <f t="shared" si="4"/>
        <v>0.8181818182</v>
      </c>
      <c r="BY34" s="107" t="s">
        <v>15</v>
      </c>
    </row>
    <row r="35">
      <c r="A35" s="299">
        <v>31.0</v>
      </c>
      <c r="B35" s="55"/>
      <c r="C35" s="300" t="s">
        <v>72</v>
      </c>
      <c r="D35" s="271" t="s">
        <v>20</v>
      </c>
      <c r="E35" s="271" t="s">
        <v>20</v>
      </c>
      <c r="F35" s="271" t="s">
        <v>20</v>
      </c>
      <c r="G35" s="271" t="s">
        <v>20</v>
      </c>
      <c r="H35" s="271" t="s">
        <v>20</v>
      </c>
      <c r="I35" s="271" t="s">
        <v>20</v>
      </c>
      <c r="J35" s="271" t="s">
        <v>20</v>
      </c>
      <c r="K35" s="271" t="s">
        <v>20</v>
      </c>
      <c r="L35" s="271" t="s">
        <v>20</v>
      </c>
      <c r="M35" s="271" t="s">
        <v>20</v>
      </c>
      <c r="N35" s="271" t="s">
        <v>20</v>
      </c>
      <c r="O35" s="271" t="s">
        <v>20</v>
      </c>
      <c r="P35" s="271" t="s">
        <v>20</v>
      </c>
      <c r="Q35" s="271" t="s">
        <v>20</v>
      </c>
      <c r="R35" s="271" t="s">
        <v>20</v>
      </c>
      <c r="S35" s="271" t="s">
        <v>20</v>
      </c>
      <c r="T35" s="271" t="s">
        <v>20</v>
      </c>
      <c r="U35" s="271" t="s">
        <v>20</v>
      </c>
      <c r="V35" s="271" t="s">
        <v>20</v>
      </c>
      <c r="W35" s="271" t="s">
        <v>20</v>
      </c>
      <c r="X35" s="22" t="str">
        <f t="shared" si="1"/>
        <v>0,00%</v>
      </c>
      <c r="Y35" s="271" t="s">
        <v>20</v>
      </c>
      <c r="Z35" s="271" t="s">
        <v>20</v>
      </c>
      <c r="AA35" s="271" t="s">
        <v>20</v>
      </c>
      <c r="AB35" s="271" t="s">
        <v>20</v>
      </c>
      <c r="AC35" s="271" t="s">
        <v>20</v>
      </c>
      <c r="AD35" s="271" t="s">
        <v>20</v>
      </c>
      <c r="AE35" s="271" t="s">
        <v>20</v>
      </c>
      <c r="AF35" s="271" t="s">
        <v>20</v>
      </c>
      <c r="AG35" s="271" t="s">
        <v>20</v>
      </c>
      <c r="AH35" s="271" t="s">
        <v>20</v>
      </c>
      <c r="AI35" s="271" t="s">
        <v>20</v>
      </c>
      <c r="AJ35" s="271" t="s">
        <v>20</v>
      </c>
      <c r="AK35" s="271" t="s">
        <v>20</v>
      </c>
      <c r="AL35" s="271" t="s">
        <v>20</v>
      </c>
      <c r="AM35" s="271" t="s">
        <v>20</v>
      </c>
      <c r="AN35" s="271" t="s">
        <v>20</v>
      </c>
      <c r="AO35" s="271" t="s">
        <v>20</v>
      </c>
      <c r="AP35" s="271" t="s">
        <v>20</v>
      </c>
      <c r="AQ35" s="271" t="s">
        <v>20</v>
      </c>
      <c r="AR35" s="271" t="s">
        <v>20</v>
      </c>
      <c r="AS35" s="22" t="str">
        <f t="shared" si="2"/>
        <v>0,00%</v>
      </c>
      <c r="AT35" s="271" t="s">
        <v>20</v>
      </c>
      <c r="AU35" s="271" t="s">
        <v>20</v>
      </c>
      <c r="AV35" s="271" t="s">
        <v>20</v>
      </c>
      <c r="AW35" s="16" t="s">
        <v>15</v>
      </c>
      <c r="AX35" s="16" t="s">
        <v>15</v>
      </c>
      <c r="AY35" s="16" t="s">
        <v>15</v>
      </c>
      <c r="AZ35" s="16" t="s">
        <v>15</v>
      </c>
      <c r="BA35" s="22">
        <f t="shared" si="3"/>
        <v>1</v>
      </c>
      <c r="BB35" s="261" t="s">
        <v>15</v>
      </c>
      <c r="BC35" s="16" t="s">
        <v>15</v>
      </c>
      <c r="BD35" s="261" t="s">
        <v>15</v>
      </c>
      <c r="BE35" s="261" t="s">
        <v>15</v>
      </c>
      <c r="BF35" s="264" t="s">
        <v>15</v>
      </c>
      <c r="BG35" s="154" t="s">
        <v>15</v>
      </c>
      <c r="BH35" s="154" t="s">
        <v>15</v>
      </c>
      <c r="BI35" s="154" t="s">
        <v>15</v>
      </c>
      <c r="BJ35" s="154" t="s">
        <v>15</v>
      </c>
      <c r="BK35" s="204" t="s">
        <v>16</v>
      </c>
      <c r="BL35" s="154" t="s">
        <v>15</v>
      </c>
      <c r="BM35" s="154" t="s">
        <v>15</v>
      </c>
      <c r="BN35" s="16" t="s">
        <v>15</v>
      </c>
      <c r="BO35" s="261" t="s">
        <v>15</v>
      </c>
      <c r="BP35" s="261" t="s">
        <v>15</v>
      </c>
      <c r="BQ35" s="208" t="s">
        <v>15</v>
      </c>
      <c r="BR35" s="208" t="s">
        <v>15</v>
      </c>
      <c r="BS35" s="16" t="s">
        <v>15</v>
      </c>
      <c r="BT35" s="261" t="s">
        <v>15</v>
      </c>
      <c r="BU35" s="16" t="s">
        <v>15</v>
      </c>
      <c r="BV35" s="16" t="s">
        <v>15</v>
      </c>
      <c r="BW35" s="267" t="s">
        <v>15</v>
      </c>
      <c r="BX35" s="22">
        <f t="shared" si="4"/>
        <v>0.9545454545</v>
      </c>
      <c r="BY35" s="107" t="s">
        <v>16</v>
      </c>
    </row>
    <row r="36">
      <c r="A36" s="6"/>
      <c r="D36" s="301"/>
      <c r="E36" s="302" t="s">
        <v>28</v>
      </c>
      <c r="F36" s="255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95"/>
      <c r="W36" s="6"/>
    </row>
    <row r="37">
      <c r="A37" s="6"/>
      <c r="D37" s="303"/>
      <c r="E37" s="304" t="s">
        <v>73</v>
      </c>
      <c r="F37" s="305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101"/>
    </row>
    <row r="38">
      <c r="A38" s="6"/>
      <c r="D38" s="301"/>
      <c r="E38" s="306" t="s">
        <v>74</v>
      </c>
      <c r="F38" s="259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101"/>
    </row>
    <row r="39">
      <c r="A39" s="6"/>
      <c r="D39" s="303"/>
      <c r="E39" s="304" t="s">
        <v>75</v>
      </c>
      <c r="F39" s="305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101"/>
    </row>
    <row r="40">
      <c r="A40" s="6"/>
      <c r="B40" s="307"/>
      <c r="C40" s="307"/>
      <c r="D40" s="301"/>
      <c r="E40" s="306" t="s">
        <v>76</v>
      </c>
      <c r="F40" s="259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101"/>
    </row>
    <row r="41">
      <c r="A41" s="6"/>
      <c r="B41" s="308"/>
      <c r="C41" s="308"/>
      <c r="D41" s="303"/>
      <c r="E41" s="304"/>
      <c r="F41" s="305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101"/>
    </row>
    <row r="42">
      <c r="A42" s="6"/>
      <c r="B42" s="307"/>
      <c r="C42" s="307"/>
      <c r="D42" s="301"/>
      <c r="E42" s="306"/>
      <c r="F42" s="259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101"/>
    </row>
    <row r="43">
      <c r="A43" s="6"/>
      <c r="D43" s="6"/>
      <c r="E43" s="309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101"/>
    </row>
    <row r="44">
      <c r="A44" s="6"/>
      <c r="D44" s="6"/>
      <c r="E44" s="309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101"/>
    </row>
    <row r="45">
      <c r="A45" s="6"/>
      <c r="D45" s="6"/>
      <c r="E45" s="309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101"/>
    </row>
    <row r="46">
      <c r="A46" s="6"/>
      <c r="D46" s="6"/>
      <c r="E46" s="309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101"/>
    </row>
    <row r="47">
      <c r="D47" s="6"/>
      <c r="E47" s="309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101"/>
    </row>
    <row r="48"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  <row r="1001"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</row>
    <row r="1002"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</row>
    <row r="1003"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</row>
    <row r="1004"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</row>
    <row r="1005"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</row>
    <row r="1006"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</row>
    <row r="1007"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</row>
    <row r="1008"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</row>
    <row r="1009"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</row>
    <row r="1010"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</row>
    <row r="1011"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AH1011" s="6"/>
    </row>
    <row r="1012"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AH1012" s="6"/>
    </row>
    <row r="1013"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AH1013" s="6"/>
    </row>
    <row r="1014"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AH1014" s="6"/>
    </row>
    <row r="1015"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AH1015" s="6"/>
    </row>
  </sheetData>
  <mergeCells count="19">
    <mergeCell ref="D1:W3"/>
    <mergeCell ref="AT1:AZ3"/>
    <mergeCell ref="BB1:BW3"/>
    <mergeCell ref="X2:X3"/>
    <mergeCell ref="AS2:AS3"/>
    <mergeCell ref="BA2:BA3"/>
    <mergeCell ref="BX2:BX3"/>
    <mergeCell ref="E43:AS43"/>
    <mergeCell ref="E44:AS44"/>
    <mergeCell ref="E45:AS45"/>
    <mergeCell ref="E46:AS46"/>
    <mergeCell ref="E47:AS47"/>
    <mergeCell ref="Y1:AR3"/>
    <mergeCell ref="E37:AS37"/>
    <mergeCell ref="E38:AS38"/>
    <mergeCell ref="E39:AS39"/>
    <mergeCell ref="E40:AS40"/>
    <mergeCell ref="E41:AS41"/>
    <mergeCell ref="E42:AS42"/>
  </mergeCells>
  <conditionalFormatting sqref="D5:D38 E5:J43 K5:K39 L5:AE43 AF5:AF39 AG5:BE43 BF5:BW35 BX21">
    <cfRule type="cellIs" dxfId="3" priority="1" operator="equal">
      <formula>"P"</formula>
    </cfRule>
  </conditionalFormatting>
  <conditionalFormatting sqref="D5:D38 E5:J43 K5:K39 L5:AE43 AF5:AF39 AG5:BE43 BF5:BW35 BX21">
    <cfRule type="cellIs" dxfId="4" priority="2" operator="equal">
      <formula>"F"</formula>
    </cfRule>
  </conditionalFormatting>
  <conditionalFormatting sqref="A3:C3 BY3:CP3">
    <cfRule type="notContainsBlanks" dxfId="6" priority="3">
      <formula>LEN(TRIM(A3))&gt;0</formula>
    </cfRule>
  </conditionalFormatting>
  <dataValidations>
    <dataValidation type="list" allowBlank="1" showDropDown="1" sqref="BW5:BW15 BW17:BW35">
      <formula1>"-,P,F"</formula1>
    </dataValidation>
    <dataValidation type="custom" allowBlank="1" showDropDown="1" sqref="B7 C8 B16 B18:B19 B29:B30">
      <formula1>OR(NOT(ISERROR(DATEVALUE(B7))), AND(ISNUMBER(B7), LEFT(CELL("format", B7))="D"))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4"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4.0"/>
    <col customWidth="1" min="2" max="2" width="45.38"/>
    <col customWidth="1" min="4" max="23" width="2.63"/>
    <col customWidth="1" min="24" max="24" width="7.75"/>
    <col customWidth="1" min="25" max="44" width="2.63"/>
    <col customWidth="1" min="45" max="45" width="7.13"/>
    <col customWidth="1" min="46" max="52" width="2.63"/>
    <col customWidth="1" min="53" max="53" width="7.25"/>
    <col customWidth="1" min="54" max="75" width="2.63"/>
    <col customWidth="1" min="76" max="76" width="8.25"/>
    <col customWidth="1" min="77" max="94" width="2.63"/>
  </cols>
  <sheetData>
    <row r="1">
      <c r="A1" s="1" t="s">
        <v>0</v>
      </c>
      <c r="B1" s="1"/>
      <c r="C1" s="10"/>
      <c r="D1" s="2" t="s">
        <v>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 t="s">
        <v>2</v>
      </c>
      <c r="Y1" s="2" t="s">
        <v>7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4"/>
      <c r="AS1" s="5" t="s">
        <v>2</v>
      </c>
      <c r="AT1" s="2" t="s">
        <v>8</v>
      </c>
      <c r="AU1" s="3"/>
      <c r="AV1" s="3"/>
      <c r="AW1" s="3"/>
      <c r="AX1" s="3"/>
      <c r="AY1" s="3"/>
      <c r="AZ1" s="4"/>
      <c r="BA1" s="5" t="s">
        <v>2</v>
      </c>
      <c r="BB1" s="2" t="s">
        <v>9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4"/>
      <c r="BX1" s="5" t="s">
        <v>2</v>
      </c>
    </row>
    <row r="2">
      <c r="C2" s="6"/>
      <c r="D2" s="7"/>
      <c r="W2" s="8"/>
      <c r="X2" s="9">
        <f>COUNT(D4:Q4)</f>
        <v>14</v>
      </c>
      <c r="Y2" s="7"/>
      <c r="AR2" s="8"/>
      <c r="AS2" s="9">
        <f>COUNT(Y4:AR4)</f>
        <v>20</v>
      </c>
      <c r="AT2" s="7"/>
      <c r="AZ2" s="8"/>
      <c r="BA2" s="9">
        <f>COUNT(AT4:AZ4)</f>
        <v>7</v>
      </c>
      <c r="BB2" s="7"/>
      <c r="BW2" s="8"/>
      <c r="BX2" s="9">
        <f>COUNT(BB4:BQ4)</f>
        <v>16</v>
      </c>
    </row>
    <row r="3">
      <c r="C3" s="6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4"/>
      <c r="X3" s="15"/>
      <c r="Y3" s="12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4"/>
      <c r="AS3" s="15"/>
      <c r="AT3" s="12"/>
      <c r="AU3" s="13"/>
      <c r="AV3" s="13"/>
      <c r="AW3" s="13"/>
      <c r="AX3" s="13"/>
      <c r="AY3" s="13"/>
      <c r="AZ3" s="14"/>
      <c r="BA3" s="15"/>
      <c r="BB3" s="12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4"/>
      <c r="BX3" s="15"/>
    </row>
    <row r="4">
      <c r="A4" s="16" t="s">
        <v>10</v>
      </c>
      <c r="B4" s="17" t="s">
        <v>11</v>
      </c>
      <c r="C4" s="16" t="s">
        <v>14</v>
      </c>
      <c r="D4" s="18">
        <v>4.0</v>
      </c>
      <c r="E4" s="18">
        <v>5.0</v>
      </c>
      <c r="F4" s="18">
        <v>6.0</v>
      </c>
      <c r="G4" s="18">
        <v>7.0</v>
      </c>
      <c r="H4" s="18">
        <v>8.0</v>
      </c>
      <c r="I4" s="18">
        <v>11.0</v>
      </c>
      <c r="J4" s="18">
        <v>12.0</v>
      </c>
      <c r="K4" s="18">
        <v>13.0</v>
      </c>
      <c r="L4" s="18">
        <v>14.0</v>
      </c>
      <c r="M4" s="18">
        <v>15.0</v>
      </c>
      <c r="N4" s="18">
        <v>18.0</v>
      </c>
      <c r="O4" s="18">
        <v>19.0</v>
      </c>
      <c r="P4" s="18">
        <v>20.0</v>
      </c>
      <c r="Q4" s="18">
        <v>21.0</v>
      </c>
      <c r="R4" s="18">
        <v>22.0</v>
      </c>
      <c r="S4" s="18">
        <v>25.0</v>
      </c>
      <c r="T4" s="18">
        <v>26.0</v>
      </c>
      <c r="U4" s="18">
        <v>27.0</v>
      </c>
      <c r="V4" s="18">
        <v>28.0</v>
      </c>
      <c r="W4" s="18">
        <v>29.0</v>
      </c>
      <c r="X4" s="19" t="s">
        <v>13</v>
      </c>
      <c r="Y4" s="18">
        <v>1.0</v>
      </c>
      <c r="Z4" s="18">
        <v>2.0</v>
      </c>
      <c r="AA4" s="18">
        <v>3.0</v>
      </c>
      <c r="AB4" s="18">
        <v>8.0</v>
      </c>
      <c r="AC4" s="18">
        <v>9.0</v>
      </c>
      <c r="AD4" s="18">
        <v>10.0</v>
      </c>
      <c r="AE4" s="18">
        <v>11.0</v>
      </c>
      <c r="AF4" s="18">
        <v>12.0</v>
      </c>
      <c r="AG4" s="18">
        <v>15.0</v>
      </c>
      <c r="AH4" s="18">
        <v>16.0</v>
      </c>
      <c r="AI4" s="18">
        <v>17.0</v>
      </c>
      <c r="AJ4" s="18">
        <v>18.0</v>
      </c>
      <c r="AK4" s="18">
        <v>19.0</v>
      </c>
      <c r="AL4" s="18">
        <v>22.0</v>
      </c>
      <c r="AM4" s="18">
        <v>23.0</v>
      </c>
      <c r="AN4" s="18">
        <v>24.0</v>
      </c>
      <c r="AO4" s="18">
        <v>25.0</v>
      </c>
      <c r="AP4" s="18">
        <v>26.0</v>
      </c>
      <c r="AQ4" s="18">
        <v>29.0</v>
      </c>
      <c r="AR4" s="18">
        <v>30.0</v>
      </c>
      <c r="AS4" s="19" t="s">
        <v>13</v>
      </c>
      <c r="AT4" s="18">
        <v>1.0</v>
      </c>
      <c r="AU4" s="18">
        <v>2.0</v>
      </c>
      <c r="AV4" s="18">
        <v>3.0</v>
      </c>
      <c r="AW4" s="18">
        <v>28.0</v>
      </c>
      <c r="AX4" s="18">
        <v>29.0</v>
      </c>
      <c r="AY4" s="18">
        <v>30.0</v>
      </c>
      <c r="AZ4" s="18">
        <v>31.0</v>
      </c>
      <c r="BA4" s="19" t="s">
        <v>13</v>
      </c>
      <c r="BB4" s="18">
        <v>3.0</v>
      </c>
      <c r="BC4" s="18">
        <v>4.0</v>
      </c>
      <c r="BD4" s="18">
        <v>5.0</v>
      </c>
      <c r="BE4" s="18">
        <v>6.0</v>
      </c>
      <c r="BF4" s="18">
        <v>7.0</v>
      </c>
      <c r="BG4" s="18">
        <v>10.0</v>
      </c>
      <c r="BH4" s="18">
        <v>11.0</v>
      </c>
      <c r="BI4" s="18">
        <v>12.0</v>
      </c>
      <c r="BJ4" s="18">
        <v>13.0</v>
      </c>
      <c r="BK4" s="18">
        <v>14.0</v>
      </c>
      <c r="BL4" s="18">
        <v>17.0</v>
      </c>
      <c r="BM4" s="18">
        <v>18.0</v>
      </c>
      <c r="BN4" s="18">
        <v>19.0</v>
      </c>
      <c r="BO4" s="18">
        <v>20.0</v>
      </c>
      <c r="BP4" s="18">
        <v>21.0</v>
      </c>
      <c r="BQ4" s="18">
        <v>22.0</v>
      </c>
      <c r="BR4" s="18">
        <v>24.0</v>
      </c>
      <c r="BS4" s="18">
        <v>25.0</v>
      </c>
      <c r="BT4" s="18">
        <v>26.0</v>
      </c>
      <c r="BU4" s="18">
        <v>27.0</v>
      </c>
      <c r="BV4" s="18">
        <v>28.0</v>
      </c>
      <c r="BW4" s="18">
        <v>31.0</v>
      </c>
      <c r="BX4" s="19" t="s">
        <v>13</v>
      </c>
      <c r="BY4" s="107">
        <v>1.0</v>
      </c>
    </row>
    <row r="5">
      <c r="A5" s="206">
        <v>1.0</v>
      </c>
      <c r="B5" s="25"/>
      <c r="C5" s="56"/>
      <c r="D5" s="161" t="s">
        <v>15</v>
      </c>
      <c r="E5" s="161" t="s">
        <v>15</v>
      </c>
      <c r="F5" s="161" t="s">
        <v>15</v>
      </c>
      <c r="G5" s="59" t="s">
        <v>15</v>
      </c>
      <c r="H5" s="70" t="s">
        <v>16</v>
      </c>
      <c r="I5" s="16" t="s">
        <v>15</v>
      </c>
      <c r="J5" s="16" t="s">
        <v>15</v>
      </c>
      <c r="K5" s="59" t="s">
        <v>15</v>
      </c>
      <c r="L5" s="39" t="s">
        <v>15</v>
      </c>
      <c r="M5" s="207" t="s">
        <v>16</v>
      </c>
      <c r="N5" s="16" t="s">
        <v>15</v>
      </c>
      <c r="O5" s="59" t="s">
        <v>15</v>
      </c>
      <c r="P5" s="61" t="s">
        <v>15</v>
      </c>
      <c r="Q5" s="61" t="s">
        <v>15</v>
      </c>
      <c r="R5" s="61" t="s">
        <v>15</v>
      </c>
      <c r="S5" s="16" t="s">
        <v>15</v>
      </c>
      <c r="T5" s="16" t="s">
        <v>15</v>
      </c>
      <c r="U5" s="16" t="s">
        <v>16</v>
      </c>
      <c r="V5" s="16" t="s">
        <v>15</v>
      </c>
      <c r="W5" s="16" t="s">
        <v>15</v>
      </c>
      <c r="X5" s="22">
        <f t="shared" ref="X5:X38" si="1">IFERROR(COUNTIF(D5:W5,"P")/(COUNTIF(D5:W5,"P")+COUNTIF(D5:W5,"F")), "0,00%")</f>
        <v>0.85</v>
      </c>
      <c r="Y5" s="16" t="s">
        <v>15</v>
      </c>
      <c r="Z5" s="16" t="s">
        <v>15</v>
      </c>
      <c r="AA5" s="16" t="s">
        <v>15</v>
      </c>
      <c r="AB5" s="16" t="s">
        <v>15</v>
      </c>
      <c r="AC5" s="16" t="s">
        <v>15</v>
      </c>
      <c r="AD5" s="16" t="s">
        <v>15</v>
      </c>
      <c r="AE5" s="59" t="s">
        <v>15</v>
      </c>
      <c r="AF5" s="59" t="s">
        <v>16</v>
      </c>
      <c r="AG5" s="16" t="s">
        <v>15</v>
      </c>
      <c r="AH5" s="16" t="s">
        <v>15</v>
      </c>
      <c r="AI5" s="16" t="s">
        <v>16</v>
      </c>
      <c r="AJ5" s="16" t="s">
        <v>15</v>
      </c>
      <c r="AK5" s="16" t="s">
        <v>16</v>
      </c>
      <c r="AL5" s="16" t="s">
        <v>15</v>
      </c>
      <c r="AM5" s="16" t="s">
        <v>15</v>
      </c>
      <c r="AN5" s="16" t="s">
        <v>16</v>
      </c>
      <c r="AO5" s="16" t="s">
        <v>15</v>
      </c>
      <c r="AP5" s="16" t="s">
        <v>15</v>
      </c>
      <c r="AQ5" s="16" t="s">
        <v>15</v>
      </c>
      <c r="AR5" s="16" t="s">
        <v>16</v>
      </c>
      <c r="AS5" s="22">
        <f t="shared" ref="AS5:AS35" si="2">IFERROR(COUNTIF(Y5:AR5,"P")/(COUNTIF(Y5:AR5,"P")+COUNTIF(Y5:AR5,"F")), "0,00%")</f>
        <v>0.75</v>
      </c>
      <c r="AT5" s="16" t="s">
        <v>16</v>
      </c>
      <c r="AU5" s="16" t="s">
        <v>16</v>
      </c>
      <c r="AV5" s="16" t="s">
        <v>15</v>
      </c>
      <c r="AW5" s="100" t="s">
        <v>16</v>
      </c>
      <c r="AX5" s="16" t="s">
        <v>15</v>
      </c>
      <c r="AY5" s="16" t="s">
        <v>16</v>
      </c>
      <c r="AZ5" s="16" t="s">
        <v>16</v>
      </c>
      <c r="BA5" s="22">
        <f t="shared" ref="BA5:BA38" si="3">IFERROR(COUNTIF(AT5:AZ5,"P")/(COUNTIF(AT5:AZ5,"P")+COUNTIF(AT5:AZ5,"F")), "0,00%")</f>
        <v>0.2857142857</v>
      </c>
      <c r="BB5" s="261" t="s">
        <v>15</v>
      </c>
      <c r="BC5" s="261" t="s">
        <v>15</v>
      </c>
      <c r="BD5" s="261" t="s">
        <v>15</v>
      </c>
      <c r="BE5" s="264" t="s">
        <v>16</v>
      </c>
      <c r="BF5" s="264" t="s">
        <v>16</v>
      </c>
      <c r="BG5" s="16" t="s">
        <v>15</v>
      </c>
      <c r="BH5" s="16" t="s">
        <v>15</v>
      </c>
      <c r="BI5" s="16" t="s">
        <v>15</v>
      </c>
      <c r="BJ5" s="16" t="s">
        <v>16</v>
      </c>
      <c r="BK5" s="16" t="s">
        <v>16</v>
      </c>
      <c r="BL5" s="16" t="s">
        <v>15</v>
      </c>
      <c r="BM5" s="16" t="s">
        <v>15</v>
      </c>
      <c r="BN5" s="261" t="s">
        <v>15</v>
      </c>
      <c r="BO5" s="16" t="s">
        <v>15</v>
      </c>
      <c r="BP5" s="16" t="s">
        <v>15</v>
      </c>
      <c r="BQ5" s="261" t="s">
        <v>15</v>
      </c>
      <c r="BR5" s="261" t="s">
        <v>15</v>
      </c>
      <c r="BS5" s="16" t="s">
        <v>15</v>
      </c>
      <c r="BT5" s="261" t="s">
        <v>15</v>
      </c>
      <c r="BU5" s="16" t="s">
        <v>15</v>
      </c>
      <c r="BV5" s="16" t="s">
        <v>15</v>
      </c>
      <c r="BW5" s="16" t="s">
        <v>15</v>
      </c>
      <c r="BX5" s="22">
        <f t="shared" ref="BX5:BX38" si="4">IFERROR(COUNTIF(BB5:BW5,"P")/(COUNTIF(BB5:BW5,"P")+COUNTIF(BB5:BW5,"F")), "0,00%")</f>
        <v>0.8181818182</v>
      </c>
      <c r="BY5" s="107" t="s">
        <v>15</v>
      </c>
    </row>
    <row r="6">
      <c r="A6" s="206">
        <v>2.0</v>
      </c>
      <c r="B6" s="121"/>
      <c r="C6" s="56"/>
      <c r="D6" s="161" t="s">
        <v>15</v>
      </c>
      <c r="E6" s="161" t="s">
        <v>15</v>
      </c>
      <c r="F6" s="161" t="s">
        <v>15</v>
      </c>
      <c r="G6" s="59" t="s">
        <v>15</v>
      </c>
      <c r="H6" s="39" t="s">
        <v>15</v>
      </c>
      <c r="I6" s="16" t="s">
        <v>15</v>
      </c>
      <c r="J6" s="16" t="s">
        <v>15</v>
      </c>
      <c r="K6" s="59" t="s">
        <v>16</v>
      </c>
      <c r="L6" s="39" t="s">
        <v>15</v>
      </c>
      <c r="M6" s="39" t="s">
        <v>15</v>
      </c>
      <c r="N6" s="16" t="s">
        <v>15</v>
      </c>
      <c r="O6" s="59" t="s">
        <v>15</v>
      </c>
      <c r="P6" s="207" t="s">
        <v>16</v>
      </c>
      <c r="Q6" s="61" t="s">
        <v>15</v>
      </c>
      <c r="R6" s="278" t="s">
        <v>16</v>
      </c>
      <c r="S6" s="16" t="s">
        <v>15</v>
      </c>
      <c r="T6" s="16" t="s">
        <v>15</v>
      </c>
      <c r="U6" s="16" t="s">
        <v>15</v>
      </c>
      <c r="V6" s="16" t="s">
        <v>15</v>
      </c>
      <c r="W6" s="16" t="s">
        <v>15</v>
      </c>
      <c r="X6" s="22">
        <f t="shared" si="1"/>
        <v>0.85</v>
      </c>
      <c r="Y6" s="16" t="s">
        <v>15</v>
      </c>
      <c r="Z6" s="16" t="s">
        <v>15</v>
      </c>
      <c r="AA6" s="16" t="s">
        <v>15</v>
      </c>
      <c r="AB6" s="16" t="s">
        <v>15</v>
      </c>
      <c r="AC6" s="16" t="s">
        <v>15</v>
      </c>
      <c r="AD6" s="16" t="s">
        <v>15</v>
      </c>
      <c r="AE6" s="59" t="s">
        <v>15</v>
      </c>
      <c r="AF6" s="39" t="s">
        <v>15</v>
      </c>
      <c r="AG6" s="16" t="s">
        <v>15</v>
      </c>
      <c r="AH6" s="16" t="s">
        <v>15</v>
      </c>
      <c r="AI6" s="16" t="s">
        <v>15</v>
      </c>
      <c r="AJ6" s="16" t="s">
        <v>15</v>
      </c>
      <c r="AK6" s="16" t="s">
        <v>15</v>
      </c>
      <c r="AL6" s="16" t="s">
        <v>15</v>
      </c>
      <c r="AM6" s="16" t="s">
        <v>15</v>
      </c>
      <c r="AN6" s="16" t="s">
        <v>16</v>
      </c>
      <c r="AO6" s="16" t="s">
        <v>15</v>
      </c>
      <c r="AP6" s="16" t="s">
        <v>15</v>
      </c>
      <c r="AQ6" s="16" t="s">
        <v>15</v>
      </c>
      <c r="AR6" s="16" t="s">
        <v>16</v>
      </c>
      <c r="AS6" s="22">
        <f t="shared" si="2"/>
        <v>0.9</v>
      </c>
      <c r="AT6" s="16" t="s">
        <v>16</v>
      </c>
      <c r="AU6" s="16" t="s">
        <v>16</v>
      </c>
      <c r="AV6" s="16" t="s">
        <v>15</v>
      </c>
      <c r="AW6" s="16" t="s">
        <v>15</v>
      </c>
      <c r="AX6" s="16" t="s">
        <v>15</v>
      </c>
      <c r="AY6" s="16" t="s">
        <v>16</v>
      </c>
      <c r="AZ6" s="16" t="s">
        <v>16</v>
      </c>
      <c r="BA6" s="22">
        <f t="shared" si="3"/>
        <v>0.4285714286</v>
      </c>
      <c r="BB6" s="261" t="s">
        <v>15</v>
      </c>
      <c r="BC6" s="261" t="s">
        <v>15</v>
      </c>
      <c r="BD6" s="261" t="s">
        <v>15</v>
      </c>
      <c r="BE6" s="261" t="s">
        <v>15</v>
      </c>
      <c r="BF6" s="264" t="s">
        <v>16</v>
      </c>
      <c r="BG6" s="16" t="s">
        <v>15</v>
      </c>
      <c r="BH6" s="16" t="s">
        <v>15</v>
      </c>
      <c r="BI6" s="16" t="s">
        <v>15</v>
      </c>
      <c r="BJ6" s="16" t="s">
        <v>15</v>
      </c>
      <c r="BK6" s="16" t="s">
        <v>15</v>
      </c>
      <c r="BL6" s="16" t="s">
        <v>15</v>
      </c>
      <c r="BM6" s="16" t="s">
        <v>15</v>
      </c>
      <c r="BN6" s="261" t="s">
        <v>15</v>
      </c>
      <c r="BO6" s="16" t="s">
        <v>15</v>
      </c>
      <c r="BP6" s="16" t="s">
        <v>15</v>
      </c>
      <c r="BQ6" s="261" t="s">
        <v>15</v>
      </c>
      <c r="BR6" s="264" t="s">
        <v>16</v>
      </c>
      <c r="BS6" s="16" t="s">
        <v>15</v>
      </c>
      <c r="BT6" s="261" t="s">
        <v>15</v>
      </c>
      <c r="BU6" s="16" t="s">
        <v>15</v>
      </c>
      <c r="BV6" s="16" t="s">
        <v>15</v>
      </c>
      <c r="BW6" s="16" t="s">
        <v>16</v>
      </c>
      <c r="BX6" s="22">
        <f t="shared" si="4"/>
        <v>0.8636363636</v>
      </c>
      <c r="BY6" s="107" t="s">
        <v>15</v>
      </c>
    </row>
    <row r="7">
      <c r="A7" s="206">
        <v>3.0</v>
      </c>
      <c r="B7" s="62"/>
      <c r="C7" s="79"/>
      <c r="D7" s="161" t="s">
        <v>15</v>
      </c>
      <c r="E7" s="161" t="s">
        <v>15</v>
      </c>
      <c r="F7" s="161" t="s">
        <v>15</v>
      </c>
      <c r="G7" s="59" t="s">
        <v>15</v>
      </c>
      <c r="H7" s="39" t="s">
        <v>15</v>
      </c>
      <c r="I7" s="16" t="s">
        <v>15</v>
      </c>
      <c r="J7" s="16" t="s">
        <v>15</v>
      </c>
      <c r="K7" s="59" t="s">
        <v>15</v>
      </c>
      <c r="L7" s="39" t="s">
        <v>15</v>
      </c>
      <c r="M7" s="207" t="s">
        <v>16</v>
      </c>
      <c r="N7" s="16" t="s">
        <v>15</v>
      </c>
      <c r="O7" s="59" t="s">
        <v>15</v>
      </c>
      <c r="P7" s="61" t="s">
        <v>15</v>
      </c>
      <c r="Q7" s="61" t="s">
        <v>15</v>
      </c>
      <c r="R7" s="61" t="s">
        <v>15</v>
      </c>
      <c r="S7" s="16" t="s">
        <v>15</v>
      </c>
      <c r="T7" s="16" t="s">
        <v>15</v>
      </c>
      <c r="U7" s="16" t="s">
        <v>15</v>
      </c>
      <c r="V7" s="16" t="s">
        <v>15</v>
      </c>
      <c r="W7" s="16" t="s">
        <v>15</v>
      </c>
      <c r="X7" s="22">
        <f t="shared" si="1"/>
        <v>0.95</v>
      </c>
      <c r="Y7" s="16" t="s">
        <v>15</v>
      </c>
      <c r="Z7" s="16" t="s">
        <v>15</v>
      </c>
      <c r="AA7" s="16" t="s">
        <v>15</v>
      </c>
      <c r="AB7" s="16" t="s">
        <v>15</v>
      </c>
      <c r="AC7" s="16" t="s">
        <v>15</v>
      </c>
      <c r="AD7" s="16" t="s">
        <v>15</v>
      </c>
      <c r="AE7" s="59" t="s">
        <v>15</v>
      </c>
      <c r="AF7" s="59" t="s">
        <v>16</v>
      </c>
      <c r="AG7" s="16" t="s">
        <v>15</v>
      </c>
      <c r="AH7" s="16" t="s">
        <v>15</v>
      </c>
      <c r="AI7" s="16" t="s">
        <v>15</v>
      </c>
      <c r="AJ7" s="16" t="s">
        <v>15</v>
      </c>
      <c r="AK7" s="16" t="s">
        <v>15</v>
      </c>
      <c r="AL7" s="16" t="s">
        <v>15</v>
      </c>
      <c r="AM7" s="16" t="s">
        <v>15</v>
      </c>
      <c r="AN7" s="16" t="s">
        <v>16</v>
      </c>
      <c r="AO7" s="16" t="s">
        <v>15</v>
      </c>
      <c r="AP7" s="16" t="s">
        <v>15</v>
      </c>
      <c r="AQ7" s="16" t="s">
        <v>15</v>
      </c>
      <c r="AR7" s="16" t="s">
        <v>16</v>
      </c>
      <c r="AS7" s="22">
        <f t="shared" si="2"/>
        <v>0.85</v>
      </c>
      <c r="AT7" s="16" t="s">
        <v>16</v>
      </c>
      <c r="AU7" s="16" t="s">
        <v>16</v>
      </c>
      <c r="AV7" s="16" t="s">
        <v>15</v>
      </c>
      <c r="AW7" s="100" t="s">
        <v>16</v>
      </c>
      <c r="AX7" s="16" t="s">
        <v>16</v>
      </c>
      <c r="AY7" s="16" t="s">
        <v>16</v>
      </c>
      <c r="AZ7" s="16" t="s">
        <v>16</v>
      </c>
      <c r="BA7" s="22">
        <f t="shared" si="3"/>
        <v>0.1428571429</v>
      </c>
      <c r="BB7" s="261" t="s">
        <v>15</v>
      </c>
      <c r="BC7" s="261" t="s">
        <v>15</v>
      </c>
      <c r="BD7" s="261" t="s">
        <v>15</v>
      </c>
      <c r="BE7" s="261" t="s">
        <v>15</v>
      </c>
      <c r="BF7" s="264" t="s">
        <v>15</v>
      </c>
      <c r="BG7" s="16" t="s">
        <v>15</v>
      </c>
      <c r="BH7" s="16" t="s">
        <v>15</v>
      </c>
      <c r="BI7" s="16" t="s">
        <v>15</v>
      </c>
      <c r="BJ7" s="16" t="s">
        <v>15</v>
      </c>
      <c r="BK7" s="16" t="s">
        <v>16</v>
      </c>
      <c r="BL7" s="16" t="s">
        <v>15</v>
      </c>
      <c r="BM7" s="16" t="s">
        <v>15</v>
      </c>
      <c r="BN7" s="261" t="s">
        <v>15</v>
      </c>
      <c r="BO7" s="16" t="s">
        <v>15</v>
      </c>
      <c r="BP7" s="16" t="s">
        <v>15</v>
      </c>
      <c r="BQ7" s="261" t="s">
        <v>15</v>
      </c>
      <c r="BR7" s="261" t="s">
        <v>15</v>
      </c>
      <c r="BS7" s="16" t="s">
        <v>15</v>
      </c>
      <c r="BT7" s="261" t="s">
        <v>15</v>
      </c>
      <c r="BU7" s="16" t="s">
        <v>15</v>
      </c>
      <c r="BV7" s="16" t="s">
        <v>15</v>
      </c>
      <c r="BW7" s="16" t="s">
        <v>15</v>
      </c>
      <c r="BX7" s="22">
        <f t="shared" si="4"/>
        <v>0.9545454545</v>
      </c>
      <c r="BY7" s="107" t="s">
        <v>15</v>
      </c>
    </row>
    <row r="8">
      <c r="A8" s="206">
        <v>4.0</v>
      </c>
      <c r="B8" s="81"/>
      <c r="C8" s="79"/>
      <c r="D8" s="161" t="s">
        <v>15</v>
      </c>
      <c r="E8" s="161" t="s">
        <v>15</v>
      </c>
      <c r="F8" s="161" t="s">
        <v>15</v>
      </c>
      <c r="G8" s="59" t="s">
        <v>15</v>
      </c>
      <c r="H8" s="39" t="s">
        <v>15</v>
      </c>
      <c r="I8" s="16" t="s">
        <v>15</v>
      </c>
      <c r="J8" s="16" t="s">
        <v>15</v>
      </c>
      <c r="K8" s="59" t="s">
        <v>15</v>
      </c>
      <c r="L8" s="39" t="s">
        <v>15</v>
      </c>
      <c r="M8" s="39" t="s">
        <v>15</v>
      </c>
      <c r="N8" s="16" t="s">
        <v>15</v>
      </c>
      <c r="O8" s="59" t="s">
        <v>15</v>
      </c>
      <c r="P8" s="61" t="s">
        <v>15</v>
      </c>
      <c r="Q8" s="61" t="s">
        <v>15</v>
      </c>
      <c r="R8" s="61" t="s">
        <v>15</v>
      </c>
      <c r="S8" s="16" t="s">
        <v>15</v>
      </c>
      <c r="T8" s="16" t="s">
        <v>15</v>
      </c>
      <c r="U8" s="16" t="s">
        <v>15</v>
      </c>
      <c r="V8" s="16" t="s">
        <v>15</v>
      </c>
      <c r="W8" s="16" t="s">
        <v>16</v>
      </c>
      <c r="X8" s="22">
        <f t="shared" si="1"/>
        <v>0.95</v>
      </c>
      <c r="Y8" s="16" t="s">
        <v>15</v>
      </c>
      <c r="Z8" s="16" t="s">
        <v>15</v>
      </c>
      <c r="AA8" s="16" t="s">
        <v>15</v>
      </c>
      <c r="AB8" s="16" t="s">
        <v>15</v>
      </c>
      <c r="AC8" s="16" t="s">
        <v>15</v>
      </c>
      <c r="AD8" s="16" t="s">
        <v>15</v>
      </c>
      <c r="AE8" s="59" t="s">
        <v>15</v>
      </c>
      <c r="AF8" s="39" t="s">
        <v>15</v>
      </c>
      <c r="AG8" s="16" t="s">
        <v>15</v>
      </c>
      <c r="AH8" s="16" t="s">
        <v>15</v>
      </c>
      <c r="AI8" s="16" t="s">
        <v>15</v>
      </c>
      <c r="AJ8" s="16" t="s">
        <v>15</v>
      </c>
      <c r="AK8" s="16" t="s">
        <v>15</v>
      </c>
      <c r="AL8" s="16" t="s">
        <v>15</v>
      </c>
      <c r="AM8" s="16" t="s">
        <v>16</v>
      </c>
      <c r="AN8" s="16" t="s">
        <v>16</v>
      </c>
      <c r="AO8" s="16" t="s">
        <v>15</v>
      </c>
      <c r="AP8" s="16" t="s">
        <v>15</v>
      </c>
      <c r="AQ8" s="16" t="s">
        <v>15</v>
      </c>
      <c r="AR8" s="16" t="s">
        <v>15</v>
      </c>
      <c r="AS8" s="22">
        <f t="shared" si="2"/>
        <v>0.9</v>
      </c>
      <c r="AT8" s="16" t="s">
        <v>16</v>
      </c>
      <c r="AU8" s="16" t="s">
        <v>16</v>
      </c>
      <c r="AV8" s="16" t="s">
        <v>15</v>
      </c>
      <c r="AW8" s="16" t="s">
        <v>15</v>
      </c>
      <c r="AX8" s="16" t="s">
        <v>15</v>
      </c>
      <c r="AY8" s="16" t="s">
        <v>15</v>
      </c>
      <c r="AZ8" s="16" t="s">
        <v>15</v>
      </c>
      <c r="BA8" s="22">
        <f t="shared" si="3"/>
        <v>0.7142857143</v>
      </c>
      <c r="BB8" s="261" t="s">
        <v>15</v>
      </c>
      <c r="BC8" s="261" t="s">
        <v>15</v>
      </c>
      <c r="BD8" s="261" t="s">
        <v>15</v>
      </c>
      <c r="BE8" s="261" t="s">
        <v>15</v>
      </c>
      <c r="BF8" s="264" t="s">
        <v>15</v>
      </c>
      <c r="BG8" s="16" t="s">
        <v>15</v>
      </c>
      <c r="BH8" s="16" t="s">
        <v>15</v>
      </c>
      <c r="BI8" s="16" t="s">
        <v>15</v>
      </c>
      <c r="BJ8" s="16" t="s">
        <v>15</v>
      </c>
      <c r="BK8" s="16" t="s">
        <v>16</v>
      </c>
      <c r="BL8" s="16" t="s">
        <v>15</v>
      </c>
      <c r="BM8" s="16" t="s">
        <v>15</v>
      </c>
      <c r="BN8" s="261" t="s">
        <v>15</v>
      </c>
      <c r="BO8" s="16" t="s">
        <v>15</v>
      </c>
      <c r="BP8" s="16" t="s">
        <v>15</v>
      </c>
      <c r="BQ8" s="261" t="s">
        <v>15</v>
      </c>
      <c r="BR8" s="261" t="s">
        <v>15</v>
      </c>
      <c r="BS8" s="16" t="s">
        <v>15</v>
      </c>
      <c r="BT8" s="261" t="s">
        <v>15</v>
      </c>
      <c r="BU8" s="16" t="s">
        <v>15</v>
      </c>
      <c r="BV8" s="16" t="s">
        <v>15</v>
      </c>
      <c r="BW8" s="16" t="s">
        <v>15</v>
      </c>
      <c r="BX8" s="22">
        <f t="shared" si="4"/>
        <v>0.9545454545</v>
      </c>
      <c r="BY8" s="107" t="s">
        <v>16</v>
      </c>
    </row>
    <row r="9">
      <c r="A9" s="206">
        <v>5.0</v>
      </c>
      <c r="B9" s="280"/>
      <c r="C9" s="79"/>
      <c r="D9" s="161" t="s">
        <v>15</v>
      </c>
      <c r="E9" s="161" t="s">
        <v>15</v>
      </c>
      <c r="F9" s="161" t="s">
        <v>15</v>
      </c>
      <c r="G9" s="59" t="s">
        <v>15</v>
      </c>
      <c r="H9" s="70" t="s">
        <v>16</v>
      </c>
      <c r="I9" s="16" t="s">
        <v>15</v>
      </c>
      <c r="J9" s="16" t="s">
        <v>15</v>
      </c>
      <c r="K9" s="59" t="s">
        <v>15</v>
      </c>
      <c r="L9" s="39" t="s">
        <v>15</v>
      </c>
      <c r="M9" s="207" t="s">
        <v>16</v>
      </c>
      <c r="N9" s="16" t="s">
        <v>15</v>
      </c>
      <c r="O9" s="59" t="s">
        <v>15</v>
      </c>
      <c r="P9" s="61" t="s">
        <v>15</v>
      </c>
      <c r="Q9" s="61" t="s">
        <v>15</v>
      </c>
      <c r="R9" s="61" t="s">
        <v>15</v>
      </c>
      <c r="S9" s="16" t="s">
        <v>15</v>
      </c>
      <c r="T9" s="16" t="s">
        <v>15</v>
      </c>
      <c r="U9" s="16" t="s">
        <v>15</v>
      </c>
      <c r="V9" s="16" t="s">
        <v>15</v>
      </c>
      <c r="W9" s="16" t="s">
        <v>15</v>
      </c>
      <c r="X9" s="22">
        <f t="shared" si="1"/>
        <v>0.9</v>
      </c>
      <c r="Y9" s="16" t="s">
        <v>15</v>
      </c>
      <c r="Z9" s="16" t="s">
        <v>15</v>
      </c>
      <c r="AA9" s="16" t="s">
        <v>16</v>
      </c>
      <c r="AB9" s="16" t="s">
        <v>15</v>
      </c>
      <c r="AC9" s="16" t="s">
        <v>15</v>
      </c>
      <c r="AD9" s="16" t="s">
        <v>15</v>
      </c>
      <c r="AE9" s="59" t="s">
        <v>15</v>
      </c>
      <c r="AF9" s="39" t="s">
        <v>15</v>
      </c>
      <c r="AG9" s="16" t="s">
        <v>16</v>
      </c>
      <c r="AH9" s="16" t="s">
        <v>15</v>
      </c>
      <c r="AI9" s="16" t="s">
        <v>15</v>
      </c>
      <c r="AJ9" s="16" t="s">
        <v>15</v>
      </c>
      <c r="AK9" s="16" t="s">
        <v>16</v>
      </c>
      <c r="AL9" s="16" t="s">
        <v>16</v>
      </c>
      <c r="AM9" s="16" t="s">
        <v>15</v>
      </c>
      <c r="AN9" s="16" t="s">
        <v>16</v>
      </c>
      <c r="AO9" s="16" t="s">
        <v>15</v>
      </c>
      <c r="AP9" s="16" t="s">
        <v>15</v>
      </c>
      <c r="AQ9" s="16" t="s">
        <v>15</v>
      </c>
      <c r="AR9" s="16" t="s">
        <v>16</v>
      </c>
      <c r="AS9" s="22">
        <f t="shared" si="2"/>
        <v>0.7</v>
      </c>
      <c r="AT9" s="16" t="s">
        <v>16</v>
      </c>
      <c r="AU9" s="16" t="s">
        <v>16</v>
      </c>
      <c r="AV9" s="16" t="s">
        <v>15</v>
      </c>
      <c r="AW9" s="100" t="s">
        <v>16</v>
      </c>
      <c r="AX9" s="16" t="s">
        <v>15</v>
      </c>
      <c r="AY9" s="16" t="s">
        <v>15</v>
      </c>
      <c r="AZ9" s="16" t="s">
        <v>15</v>
      </c>
      <c r="BA9" s="22">
        <f t="shared" si="3"/>
        <v>0.5714285714</v>
      </c>
      <c r="BB9" s="261" t="s">
        <v>15</v>
      </c>
      <c r="BC9" s="264" t="s">
        <v>16</v>
      </c>
      <c r="BD9" s="261" t="s">
        <v>15</v>
      </c>
      <c r="BE9" s="264" t="s">
        <v>16</v>
      </c>
      <c r="BF9" s="264" t="s">
        <v>16</v>
      </c>
      <c r="BG9" s="16" t="s">
        <v>15</v>
      </c>
      <c r="BH9" s="16" t="s">
        <v>16</v>
      </c>
      <c r="BI9" s="16" t="s">
        <v>15</v>
      </c>
      <c r="BJ9" s="16" t="s">
        <v>15</v>
      </c>
      <c r="BK9" s="16" t="s">
        <v>16</v>
      </c>
      <c r="BL9" s="16" t="s">
        <v>15</v>
      </c>
      <c r="BM9" s="16" t="s">
        <v>15</v>
      </c>
      <c r="BN9" s="261" t="s">
        <v>15</v>
      </c>
      <c r="BO9" s="16" t="s">
        <v>15</v>
      </c>
      <c r="BP9" s="16" t="s">
        <v>15</v>
      </c>
      <c r="BQ9" s="261" t="s">
        <v>15</v>
      </c>
      <c r="BR9" s="261" t="s">
        <v>15</v>
      </c>
      <c r="BS9" s="16" t="s">
        <v>15</v>
      </c>
      <c r="BT9" s="261" t="s">
        <v>15</v>
      </c>
      <c r="BU9" s="16" t="s">
        <v>15</v>
      </c>
      <c r="BV9" s="16" t="s">
        <v>15</v>
      </c>
      <c r="BW9" s="16" t="s">
        <v>15</v>
      </c>
      <c r="BX9" s="22">
        <f t="shared" si="4"/>
        <v>0.7727272727</v>
      </c>
      <c r="BY9" s="107" t="s">
        <v>15</v>
      </c>
    </row>
    <row r="10">
      <c r="A10" s="206">
        <v>6.0</v>
      </c>
      <c r="B10" s="103"/>
      <c r="C10" s="100" t="s">
        <v>70</v>
      </c>
      <c r="D10" s="214" t="s">
        <v>20</v>
      </c>
      <c r="E10" s="214" t="s">
        <v>20</v>
      </c>
      <c r="F10" s="214" t="s">
        <v>20</v>
      </c>
      <c r="G10" s="32" t="s">
        <v>20</v>
      </c>
      <c r="H10" s="32" t="s">
        <v>20</v>
      </c>
      <c r="I10" s="214" t="s">
        <v>20</v>
      </c>
      <c r="J10" s="214" t="s">
        <v>20</v>
      </c>
      <c r="K10" s="249" t="s">
        <v>20</v>
      </c>
      <c r="L10" s="32" t="s">
        <v>20</v>
      </c>
      <c r="M10" s="214" t="s">
        <v>20</v>
      </c>
      <c r="N10" s="214" t="s">
        <v>20</v>
      </c>
      <c r="O10" s="32" t="s">
        <v>20</v>
      </c>
      <c r="P10" s="32" t="s">
        <v>20</v>
      </c>
      <c r="Q10" s="32" t="s">
        <v>20</v>
      </c>
      <c r="R10" s="214" t="s">
        <v>20</v>
      </c>
      <c r="S10" s="214" t="s">
        <v>20</v>
      </c>
      <c r="T10" s="214" t="s">
        <v>20</v>
      </c>
      <c r="U10" s="214"/>
      <c r="V10" s="214" t="s">
        <v>20</v>
      </c>
      <c r="W10" s="214" t="s">
        <v>20</v>
      </c>
      <c r="X10" s="284" t="str">
        <f t="shared" si="1"/>
        <v>0,00%</v>
      </c>
      <c r="Y10" s="214" t="s">
        <v>20</v>
      </c>
      <c r="Z10" s="214" t="s">
        <v>20</v>
      </c>
      <c r="AA10" s="214" t="s">
        <v>20</v>
      </c>
      <c r="AB10" s="214" t="s">
        <v>20</v>
      </c>
      <c r="AC10" s="214" t="s">
        <v>20</v>
      </c>
      <c r="AD10" s="214" t="s">
        <v>20</v>
      </c>
      <c r="AE10" s="32" t="s">
        <v>20</v>
      </c>
      <c r="AF10" s="32" t="s">
        <v>20</v>
      </c>
      <c r="AG10" s="271" t="s">
        <v>20</v>
      </c>
      <c r="AH10" s="214" t="s">
        <v>20</v>
      </c>
      <c r="AI10" s="271" t="s">
        <v>20</v>
      </c>
      <c r="AJ10" s="214" t="s">
        <v>20</v>
      </c>
      <c r="AK10" s="214" t="s">
        <v>20</v>
      </c>
      <c r="AL10" s="271" t="s">
        <v>20</v>
      </c>
      <c r="AM10" s="214" t="s">
        <v>20</v>
      </c>
      <c r="AN10" s="214" t="s">
        <v>20</v>
      </c>
      <c r="AO10" s="214" t="s">
        <v>20</v>
      </c>
      <c r="AP10" s="214" t="s">
        <v>20</v>
      </c>
      <c r="AQ10" s="214" t="s">
        <v>20</v>
      </c>
      <c r="AR10" s="214" t="s">
        <v>20</v>
      </c>
      <c r="AS10" s="48" t="str">
        <f t="shared" si="2"/>
        <v>0,00%</v>
      </c>
      <c r="AT10" s="271" t="s">
        <v>20</v>
      </c>
      <c r="AU10" s="214" t="s">
        <v>20</v>
      </c>
      <c r="AV10" s="214" t="s">
        <v>20</v>
      </c>
      <c r="AW10" s="214" t="s">
        <v>20</v>
      </c>
      <c r="AX10" s="271" t="s">
        <v>20</v>
      </c>
      <c r="AY10" s="214" t="s">
        <v>20</v>
      </c>
      <c r="AZ10" s="214" t="s">
        <v>20</v>
      </c>
      <c r="BA10" s="284" t="str">
        <f t="shared" si="3"/>
        <v>0,00%</v>
      </c>
      <c r="BB10" s="274" t="s">
        <v>20</v>
      </c>
      <c r="BC10" s="214" t="s">
        <v>20</v>
      </c>
      <c r="BD10" s="214" t="s">
        <v>20</v>
      </c>
      <c r="BE10" s="214" t="s">
        <v>20</v>
      </c>
      <c r="BF10" s="214" t="s">
        <v>20</v>
      </c>
      <c r="BG10" s="214" t="s">
        <v>20</v>
      </c>
      <c r="BH10" s="214" t="s">
        <v>20</v>
      </c>
      <c r="BI10" s="214" t="s">
        <v>20</v>
      </c>
      <c r="BJ10" s="214" t="s">
        <v>20</v>
      </c>
      <c r="BK10" s="214" t="s">
        <v>20</v>
      </c>
      <c r="BL10" s="271" t="s">
        <v>20</v>
      </c>
      <c r="BM10" s="214" t="s">
        <v>20</v>
      </c>
      <c r="BN10" s="274" t="s">
        <v>20</v>
      </c>
      <c r="BO10" s="214" t="s">
        <v>20</v>
      </c>
      <c r="BP10" s="214" t="s">
        <v>20</v>
      </c>
      <c r="BQ10" s="274" t="s">
        <v>20</v>
      </c>
      <c r="BR10" s="214" t="s">
        <v>20</v>
      </c>
      <c r="BS10" s="214" t="s">
        <v>20</v>
      </c>
      <c r="BT10" s="274" t="s">
        <v>20</v>
      </c>
      <c r="BU10" s="214" t="s">
        <v>20</v>
      </c>
      <c r="BV10" s="214" t="s">
        <v>20</v>
      </c>
      <c r="BW10" s="214" t="s">
        <v>20</v>
      </c>
      <c r="BX10" s="48" t="str">
        <f t="shared" si="4"/>
        <v>0,00%</v>
      </c>
    </row>
    <row r="11">
      <c r="A11" s="206">
        <v>7.0</v>
      </c>
      <c r="B11" s="81"/>
      <c r="C11" s="126"/>
      <c r="D11" s="161" t="s">
        <v>15</v>
      </c>
      <c r="E11" s="161" t="s">
        <v>15</v>
      </c>
      <c r="F11" s="161" t="s">
        <v>15</v>
      </c>
      <c r="G11" s="59" t="s">
        <v>15</v>
      </c>
      <c r="H11" s="39" t="s">
        <v>15</v>
      </c>
      <c r="I11" s="16" t="s">
        <v>15</v>
      </c>
      <c r="J11" s="16" t="s">
        <v>15</v>
      </c>
      <c r="K11" s="59" t="s">
        <v>15</v>
      </c>
      <c r="L11" s="39" t="s">
        <v>15</v>
      </c>
      <c r="M11" s="207" t="s">
        <v>16</v>
      </c>
      <c r="N11" s="16" t="s">
        <v>15</v>
      </c>
      <c r="O11" s="59" t="s">
        <v>15</v>
      </c>
      <c r="P11" s="61" t="s">
        <v>15</v>
      </c>
      <c r="Q11" s="228" t="s">
        <v>15</v>
      </c>
      <c r="R11" s="61" t="s">
        <v>15</v>
      </c>
      <c r="S11" s="16" t="s">
        <v>15</v>
      </c>
      <c r="T11" s="16" t="s">
        <v>15</v>
      </c>
      <c r="U11" s="16" t="s">
        <v>15</v>
      </c>
      <c r="V11" s="16" t="s">
        <v>15</v>
      </c>
      <c r="W11" s="16" t="s">
        <v>16</v>
      </c>
      <c r="X11" s="22">
        <f t="shared" si="1"/>
        <v>0.9</v>
      </c>
      <c r="Y11" s="16" t="s">
        <v>15</v>
      </c>
      <c r="Z11" s="16" t="s">
        <v>15</v>
      </c>
      <c r="AA11" s="16" t="s">
        <v>15</v>
      </c>
      <c r="AB11" s="16" t="s">
        <v>16</v>
      </c>
      <c r="AC11" s="16" t="s">
        <v>15</v>
      </c>
      <c r="AD11" s="16" t="s">
        <v>15</v>
      </c>
      <c r="AE11" s="59" t="s">
        <v>15</v>
      </c>
      <c r="AF11" s="39" t="s">
        <v>15</v>
      </c>
      <c r="AG11" s="16" t="s">
        <v>15</v>
      </c>
      <c r="AH11" s="16" t="s">
        <v>15</v>
      </c>
      <c r="AI11" s="16" t="s">
        <v>15</v>
      </c>
      <c r="AJ11" s="16" t="s">
        <v>15</v>
      </c>
      <c r="AK11" s="16" t="s">
        <v>16</v>
      </c>
      <c r="AL11" s="16" t="s">
        <v>15</v>
      </c>
      <c r="AM11" s="16" t="s">
        <v>15</v>
      </c>
      <c r="AN11" s="16" t="s">
        <v>16</v>
      </c>
      <c r="AO11" s="16" t="s">
        <v>15</v>
      </c>
      <c r="AP11" s="16" t="s">
        <v>15</v>
      </c>
      <c r="AQ11" s="16" t="s">
        <v>16</v>
      </c>
      <c r="AR11" s="100" t="s">
        <v>15</v>
      </c>
      <c r="AS11" s="22">
        <f t="shared" si="2"/>
        <v>0.8</v>
      </c>
      <c r="AT11" s="16" t="s">
        <v>16</v>
      </c>
      <c r="AU11" s="16" t="s">
        <v>16</v>
      </c>
      <c r="AV11" s="16" t="s">
        <v>15</v>
      </c>
      <c r="AW11" s="16" t="s">
        <v>15</v>
      </c>
      <c r="AX11" s="16" t="s">
        <v>16</v>
      </c>
      <c r="AY11" s="16" t="s">
        <v>15</v>
      </c>
      <c r="AZ11" s="16" t="s">
        <v>15</v>
      </c>
      <c r="BA11" s="22">
        <f t="shared" si="3"/>
        <v>0.5714285714</v>
      </c>
      <c r="BB11" s="261" t="s">
        <v>15</v>
      </c>
      <c r="BC11" s="261" t="s">
        <v>15</v>
      </c>
      <c r="BD11" s="261" t="s">
        <v>15</v>
      </c>
      <c r="BE11" s="261" t="s">
        <v>15</v>
      </c>
      <c r="BF11" s="264" t="s">
        <v>16</v>
      </c>
      <c r="BG11" s="152" t="s">
        <v>15</v>
      </c>
      <c r="BH11" s="16" t="s">
        <v>15</v>
      </c>
      <c r="BI11" s="16" t="s">
        <v>15</v>
      </c>
      <c r="BJ11" s="16" t="s">
        <v>16</v>
      </c>
      <c r="BK11" s="16" t="s">
        <v>15</v>
      </c>
      <c r="BL11" s="16" t="s">
        <v>15</v>
      </c>
      <c r="BM11" s="16" t="s">
        <v>15</v>
      </c>
      <c r="BN11" s="261" t="s">
        <v>15</v>
      </c>
      <c r="BO11" s="16" t="s">
        <v>16</v>
      </c>
      <c r="BP11" s="16" t="s">
        <v>15</v>
      </c>
      <c r="BQ11" s="261" t="s">
        <v>15</v>
      </c>
      <c r="BR11" s="264" t="s">
        <v>16</v>
      </c>
      <c r="BS11" s="16" t="s">
        <v>15</v>
      </c>
      <c r="BT11" s="261" t="s">
        <v>15</v>
      </c>
      <c r="BU11" s="16" t="s">
        <v>15</v>
      </c>
      <c r="BV11" s="16" t="s">
        <v>16</v>
      </c>
      <c r="BW11" s="16" t="s">
        <v>16</v>
      </c>
      <c r="BX11" s="22">
        <f t="shared" si="4"/>
        <v>0.7272727273</v>
      </c>
      <c r="BY11" s="107" t="s">
        <v>16</v>
      </c>
    </row>
    <row r="12">
      <c r="A12" s="206">
        <v>8.0</v>
      </c>
      <c r="B12" s="62"/>
      <c r="C12" s="79"/>
      <c r="D12" s="161" t="s">
        <v>15</v>
      </c>
      <c r="E12" s="161" t="s">
        <v>15</v>
      </c>
      <c r="F12" s="161" t="s">
        <v>15</v>
      </c>
      <c r="G12" s="59" t="s">
        <v>15</v>
      </c>
      <c r="H12" s="39" t="s">
        <v>15</v>
      </c>
      <c r="I12" s="16" t="s">
        <v>15</v>
      </c>
      <c r="J12" s="16" t="s">
        <v>15</v>
      </c>
      <c r="K12" s="59" t="s">
        <v>15</v>
      </c>
      <c r="L12" s="207" t="s">
        <v>16</v>
      </c>
      <c r="M12" s="39" t="s">
        <v>15</v>
      </c>
      <c r="N12" s="16" t="s">
        <v>15</v>
      </c>
      <c r="O12" s="59" t="s">
        <v>15</v>
      </c>
      <c r="P12" s="61" t="s">
        <v>15</v>
      </c>
      <c r="Q12" s="61" t="s">
        <v>15</v>
      </c>
      <c r="R12" s="61" t="s">
        <v>15</v>
      </c>
      <c r="S12" s="16" t="s">
        <v>15</v>
      </c>
      <c r="T12" s="16" t="s">
        <v>15</v>
      </c>
      <c r="U12" s="16" t="s">
        <v>15</v>
      </c>
      <c r="V12" s="16" t="s">
        <v>16</v>
      </c>
      <c r="W12" s="16" t="s">
        <v>16</v>
      </c>
      <c r="X12" s="22">
        <f t="shared" si="1"/>
        <v>0.85</v>
      </c>
      <c r="Y12" s="16" t="s">
        <v>15</v>
      </c>
      <c r="Z12" s="16" t="s">
        <v>15</v>
      </c>
      <c r="AA12" s="16" t="s">
        <v>15</v>
      </c>
      <c r="AB12" s="16" t="s">
        <v>15</v>
      </c>
      <c r="AC12" s="16" t="s">
        <v>15</v>
      </c>
      <c r="AD12" s="16" t="s">
        <v>15</v>
      </c>
      <c r="AE12" s="59" t="s">
        <v>15</v>
      </c>
      <c r="AF12" s="39" t="s">
        <v>15</v>
      </c>
      <c r="AG12" s="16" t="s">
        <v>15</v>
      </c>
      <c r="AH12" s="16" t="s">
        <v>16</v>
      </c>
      <c r="AI12" s="16" t="s">
        <v>15</v>
      </c>
      <c r="AJ12" s="16" t="s">
        <v>15</v>
      </c>
      <c r="AK12" s="16" t="s">
        <v>15</v>
      </c>
      <c r="AL12" s="16" t="s">
        <v>15</v>
      </c>
      <c r="AM12" s="16" t="s">
        <v>15</v>
      </c>
      <c r="AN12" s="16" t="s">
        <v>16</v>
      </c>
      <c r="AO12" s="16" t="s">
        <v>15</v>
      </c>
      <c r="AP12" s="16" t="s">
        <v>15</v>
      </c>
      <c r="AQ12" s="16" t="s">
        <v>15</v>
      </c>
      <c r="AR12" s="16" t="s">
        <v>16</v>
      </c>
      <c r="AS12" s="22">
        <f t="shared" si="2"/>
        <v>0.85</v>
      </c>
      <c r="AT12" s="16" t="s">
        <v>16</v>
      </c>
      <c r="AU12" s="16" t="s">
        <v>16</v>
      </c>
      <c r="AV12" s="16" t="s">
        <v>15</v>
      </c>
      <c r="AW12" s="100" t="s">
        <v>16</v>
      </c>
      <c r="AX12" s="16" t="s">
        <v>15</v>
      </c>
      <c r="AY12" s="16" t="s">
        <v>15</v>
      </c>
      <c r="AZ12" s="16" t="s">
        <v>16</v>
      </c>
      <c r="BA12" s="22">
        <f t="shared" si="3"/>
        <v>0.4285714286</v>
      </c>
      <c r="BB12" s="261" t="s">
        <v>15</v>
      </c>
      <c r="BC12" s="261" t="s">
        <v>15</v>
      </c>
      <c r="BD12" s="261" t="s">
        <v>15</v>
      </c>
      <c r="BE12" s="264" t="s">
        <v>16</v>
      </c>
      <c r="BF12" s="264" t="s">
        <v>16</v>
      </c>
      <c r="BG12" s="152" t="s">
        <v>15</v>
      </c>
      <c r="BH12" s="16" t="s">
        <v>15</v>
      </c>
      <c r="BI12" s="16" t="s">
        <v>15</v>
      </c>
      <c r="BJ12" s="16" t="s">
        <v>15</v>
      </c>
      <c r="BK12" s="16" t="s">
        <v>16</v>
      </c>
      <c r="BL12" s="16" t="s">
        <v>15</v>
      </c>
      <c r="BM12" s="16" t="s">
        <v>15</v>
      </c>
      <c r="BN12" s="261" t="s">
        <v>15</v>
      </c>
      <c r="BO12" s="16" t="s">
        <v>15</v>
      </c>
      <c r="BP12" s="16" t="s">
        <v>15</v>
      </c>
      <c r="BQ12" s="261" t="s">
        <v>15</v>
      </c>
      <c r="BR12" s="261" t="s">
        <v>15</v>
      </c>
      <c r="BS12" s="16" t="s">
        <v>15</v>
      </c>
      <c r="BT12" s="261" t="s">
        <v>15</v>
      </c>
      <c r="BU12" s="16" t="s">
        <v>15</v>
      </c>
      <c r="BV12" s="16" t="s">
        <v>15</v>
      </c>
      <c r="BW12" s="16" t="s">
        <v>16</v>
      </c>
      <c r="BX12" s="22">
        <f t="shared" si="4"/>
        <v>0.8181818182</v>
      </c>
      <c r="BY12" s="107" t="s">
        <v>15</v>
      </c>
    </row>
    <row r="13">
      <c r="A13" s="206">
        <v>9.0</v>
      </c>
      <c r="B13" s="227"/>
      <c r="C13" s="79"/>
      <c r="D13" s="161" t="s">
        <v>15</v>
      </c>
      <c r="E13" s="161" t="s">
        <v>16</v>
      </c>
      <c r="F13" s="161" t="s">
        <v>15</v>
      </c>
      <c r="G13" s="59" t="s">
        <v>15</v>
      </c>
      <c r="H13" s="39" t="s">
        <v>15</v>
      </c>
      <c r="I13" s="16" t="s">
        <v>15</v>
      </c>
      <c r="J13" s="16" t="s">
        <v>15</v>
      </c>
      <c r="K13" s="59" t="s">
        <v>16</v>
      </c>
      <c r="L13" s="39" t="s">
        <v>15</v>
      </c>
      <c r="M13" s="39" t="s">
        <v>15</v>
      </c>
      <c r="N13" s="16" t="s">
        <v>16</v>
      </c>
      <c r="O13" s="59" t="s">
        <v>15</v>
      </c>
      <c r="P13" s="207" t="s">
        <v>16</v>
      </c>
      <c r="Q13" s="61" t="s">
        <v>15</v>
      </c>
      <c r="R13" s="61" t="s">
        <v>15</v>
      </c>
      <c r="S13" s="16" t="s">
        <v>15</v>
      </c>
      <c r="T13" s="16" t="s">
        <v>15</v>
      </c>
      <c r="U13" s="16" t="s">
        <v>16</v>
      </c>
      <c r="V13" s="16" t="s">
        <v>15</v>
      </c>
      <c r="W13" s="16" t="s">
        <v>15</v>
      </c>
      <c r="X13" s="22">
        <f t="shared" si="1"/>
        <v>0.75</v>
      </c>
      <c r="Y13" s="16" t="s">
        <v>15</v>
      </c>
      <c r="Z13" s="16" t="s">
        <v>15</v>
      </c>
      <c r="AA13" s="16" t="s">
        <v>16</v>
      </c>
      <c r="AB13" s="16" t="s">
        <v>15</v>
      </c>
      <c r="AC13" s="16" t="s">
        <v>15</v>
      </c>
      <c r="AD13" s="16" t="s">
        <v>15</v>
      </c>
      <c r="AE13" s="59" t="s">
        <v>16</v>
      </c>
      <c r="AF13" s="39" t="s">
        <v>15</v>
      </c>
      <c r="AG13" s="16" t="s">
        <v>15</v>
      </c>
      <c r="AH13" s="16" t="s">
        <v>15</v>
      </c>
      <c r="AI13" s="16" t="s">
        <v>16</v>
      </c>
      <c r="AJ13" s="16" t="s">
        <v>15</v>
      </c>
      <c r="AK13" s="16" t="s">
        <v>15</v>
      </c>
      <c r="AL13" s="16" t="s">
        <v>15</v>
      </c>
      <c r="AM13" s="16" t="s">
        <v>15</v>
      </c>
      <c r="AN13" s="16" t="s">
        <v>16</v>
      </c>
      <c r="AO13" s="16" t="s">
        <v>15</v>
      </c>
      <c r="AP13" s="16" t="s">
        <v>15</v>
      </c>
      <c r="AQ13" s="16" t="s">
        <v>16</v>
      </c>
      <c r="AR13" s="100" t="s">
        <v>15</v>
      </c>
      <c r="AS13" s="22">
        <f t="shared" si="2"/>
        <v>0.75</v>
      </c>
      <c r="AT13" s="16" t="s">
        <v>15</v>
      </c>
      <c r="AU13" s="16" t="s">
        <v>16</v>
      </c>
      <c r="AV13" s="16" t="s">
        <v>15</v>
      </c>
      <c r="AW13" s="16" t="s">
        <v>15</v>
      </c>
      <c r="AX13" s="16" t="s">
        <v>15</v>
      </c>
      <c r="AY13" s="16" t="s">
        <v>16</v>
      </c>
      <c r="AZ13" s="16" t="s">
        <v>15</v>
      </c>
      <c r="BA13" s="22">
        <f t="shared" si="3"/>
        <v>0.7142857143</v>
      </c>
      <c r="BB13" s="261" t="s">
        <v>15</v>
      </c>
      <c r="BC13" s="261" t="s">
        <v>15</v>
      </c>
      <c r="BD13" s="261" t="s">
        <v>15</v>
      </c>
      <c r="BE13" s="264" t="s">
        <v>16</v>
      </c>
      <c r="BF13" s="264" t="s">
        <v>15</v>
      </c>
      <c r="BG13" s="152" t="s">
        <v>16</v>
      </c>
      <c r="BH13" s="16" t="s">
        <v>15</v>
      </c>
      <c r="BI13" s="16" t="s">
        <v>15</v>
      </c>
      <c r="BJ13" s="16" t="s">
        <v>15</v>
      </c>
      <c r="BK13" s="16" t="s">
        <v>15</v>
      </c>
      <c r="BL13" s="16" t="s">
        <v>16</v>
      </c>
      <c r="BM13" s="16" t="s">
        <v>15</v>
      </c>
      <c r="BN13" s="261" t="s">
        <v>15</v>
      </c>
      <c r="BO13" s="16" t="s">
        <v>16</v>
      </c>
      <c r="BP13" s="16" t="s">
        <v>15</v>
      </c>
      <c r="BQ13" s="261" t="s">
        <v>15</v>
      </c>
      <c r="BR13" s="261" t="s">
        <v>15</v>
      </c>
      <c r="BS13" s="16" t="s">
        <v>15</v>
      </c>
      <c r="BT13" s="261" t="s">
        <v>15</v>
      </c>
      <c r="BU13" s="16" t="s">
        <v>15</v>
      </c>
      <c r="BV13" s="16" t="s">
        <v>15</v>
      </c>
      <c r="BW13" s="16" t="s">
        <v>15</v>
      </c>
      <c r="BX13" s="22">
        <f t="shared" si="4"/>
        <v>0.8181818182</v>
      </c>
      <c r="BY13" s="107" t="s">
        <v>15</v>
      </c>
    </row>
    <row r="14">
      <c r="A14" s="206">
        <v>10.0</v>
      </c>
      <c r="B14" s="62"/>
      <c r="C14" s="79"/>
      <c r="D14" s="161" t="s">
        <v>15</v>
      </c>
      <c r="E14" s="161" t="s">
        <v>15</v>
      </c>
      <c r="F14" s="161" t="s">
        <v>15</v>
      </c>
      <c r="G14" s="59" t="s">
        <v>15</v>
      </c>
      <c r="H14" s="39" t="s">
        <v>15</v>
      </c>
      <c r="I14" s="16" t="s">
        <v>15</v>
      </c>
      <c r="J14" s="16" t="s">
        <v>15</v>
      </c>
      <c r="K14" s="59" t="s">
        <v>15</v>
      </c>
      <c r="L14" s="39" t="s">
        <v>15</v>
      </c>
      <c r="M14" s="39" t="s">
        <v>15</v>
      </c>
      <c r="N14" s="16" t="s">
        <v>15</v>
      </c>
      <c r="O14" s="59" t="s">
        <v>16</v>
      </c>
      <c r="P14" s="61" t="s">
        <v>15</v>
      </c>
      <c r="Q14" s="61" t="s">
        <v>15</v>
      </c>
      <c r="R14" s="61" t="s">
        <v>15</v>
      </c>
      <c r="S14" s="16" t="s">
        <v>15</v>
      </c>
      <c r="T14" s="16" t="s">
        <v>15</v>
      </c>
      <c r="U14" s="16" t="s">
        <v>15</v>
      </c>
      <c r="V14" s="16" t="s">
        <v>15</v>
      </c>
      <c r="W14" s="16" t="s">
        <v>15</v>
      </c>
      <c r="X14" s="22">
        <f t="shared" si="1"/>
        <v>0.95</v>
      </c>
      <c r="Y14" s="16" t="s">
        <v>16</v>
      </c>
      <c r="Z14" s="16" t="s">
        <v>15</v>
      </c>
      <c r="AA14" s="16" t="s">
        <v>15</v>
      </c>
      <c r="AB14" s="16" t="s">
        <v>15</v>
      </c>
      <c r="AC14" s="16" t="s">
        <v>15</v>
      </c>
      <c r="AD14" s="16" t="s">
        <v>15</v>
      </c>
      <c r="AE14" s="59" t="s">
        <v>15</v>
      </c>
      <c r="AF14" s="39" t="s">
        <v>15</v>
      </c>
      <c r="AG14" s="16" t="s">
        <v>15</v>
      </c>
      <c r="AH14" s="16" t="s">
        <v>15</v>
      </c>
      <c r="AI14" s="16" t="s">
        <v>15</v>
      </c>
      <c r="AJ14" s="16" t="s">
        <v>15</v>
      </c>
      <c r="AK14" s="16" t="s">
        <v>15</v>
      </c>
      <c r="AL14" s="16" t="s">
        <v>15</v>
      </c>
      <c r="AM14" s="16" t="s">
        <v>15</v>
      </c>
      <c r="AN14" s="16" t="s">
        <v>16</v>
      </c>
      <c r="AO14" s="16" t="s">
        <v>15</v>
      </c>
      <c r="AP14" s="16" t="s">
        <v>15</v>
      </c>
      <c r="AQ14" s="16" t="s">
        <v>15</v>
      </c>
      <c r="AR14" s="100" t="s">
        <v>15</v>
      </c>
      <c r="AS14" s="22">
        <f t="shared" si="2"/>
        <v>0.9</v>
      </c>
      <c r="AT14" s="16" t="s">
        <v>15</v>
      </c>
      <c r="AU14" s="16" t="s">
        <v>16</v>
      </c>
      <c r="AV14" s="16" t="s">
        <v>15</v>
      </c>
      <c r="AW14" s="16" t="s">
        <v>15</v>
      </c>
      <c r="AX14" s="16" t="s">
        <v>15</v>
      </c>
      <c r="AY14" s="16" t="s">
        <v>15</v>
      </c>
      <c r="AZ14" s="16" t="s">
        <v>15</v>
      </c>
      <c r="BA14" s="22">
        <f t="shared" si="3"/>
        <v>0.8571428571</v>
      </c>
      <c r="BB14" s="261" t="s">
        <v>15</v>
      </c>
      <c r="BC14" s="261" t="s">
        <v>15</v>
      </c>
      <c r="BD14" s="261" t="s">
        <v>15</v>
      </c>
      <c r="BE14" s="261" t="s">
        <v>15</v>
      </c>
      <c r="BF14" s="264" t="s">
        <v>16</v>
      </c>
      <c r="BG14" s="152" t="s">
        <v>16</v>
      </c>
      <c r="BH14" s="16" t="s">
        <v>15</v>
      </c>
      <c r="BI14" s="16" t="s">
        <v>15</v>
      </c>
      <c r="BJ14" s="16" t="s">
        <v>15</v>
      </c>
      <c r="BK14" s="16" t="s">
        <v>16</v>
      </c>
      <c r="BL14" s="16" t="s">
        <v>15</v>
      </c>
      <c r="BM14" s="16" t="s">
        <v>15</v>
      </c>
      <c r="BN14" s="261" t="s">
        <v>15</v>
      </c>
      <c r="BO14" s="16" t="s">
        <v>15</v>
      </c>
      <c r="BP14" s="16" t="s">
        <v>15</v>
      </c>
      <c r="BQ14" s="261" t="s">
        <v>15</v>
      </c>
      <c r="BR14" s="261" t="s">
        <v>15</v>
      </c>
      <c r="BS14" s="16" t="s">
        <v>15</v>
      </c>
      <c r="BT14" s="261" t="s">
        <v>15</v>
      </c>
      <c r="BU14" s="16" t="s">
        <v>15</v>
      </c>
      <c r="BV14" s="16" t="s">
        <v>15</v>
      </c>
      <c r="BW14" s="16" t="s">
        <v>15</v>
      </c>
      <c r="BX14" s="22">
        <f t="shared" si="4"/>
        <v>0.8636363636</v>
      </c>
      <c r="BY14" s="107" t="s">
        <v>15</v>
      </c>
    </row>
    <row r="15">
      <c r="A15" s="206">
        <v>11.0</v>
      </c>
      <c r="B15" s="62"/>
      <c r="C15" s="79"/>
      <c r="D15" s="161" t="s">
        <v>15</v>
      </c>
      <c r="E15" s="161" t="s">
        <v>15</v>
      </c>
      <c r="F15" s="161" t="s">
        <v>15</v>
      </c>
      <c r="G15" s="59" t="s">
        <v>15</v>
      </c>
      <c r="H15" s="39" t="s">
        <v>15</v>
      </c>
      <c r="I15" s="16" t="s">
        <v>15</v>
      </c>
      <c r="J15" s="16" t="s">
        <v>15</v>
      </c>
      <c r="K15" s="59" t="s">
        <v>15</v>
      </c>
      <c r="L15" s="39" t="s">
        <v>15</v>
      </c>
      <c r="M15" s="39" t="s">
        <v>15</v>
      </c>
      <c r="N15" s="16" t="s">
        <v>15</v>
      </c>
      <c r="O15" s="59" t="s">
        <v>15</v>
      </c>
      <c r="P15" s="61" t="s">
        <v>15</v>
      </c>
      <c r="Q15" s="61" t="s">
        <v>15</v>
      </c>
      <c r="R15" s="61" t="s">
        <v>15</v>
      </c>
      <c r="S15" s="16" t="s">
        <v>15</v>
      </c>
      <c r="T15" s="16" t="s">
        <v>15</v>
      </c>
      <c r="U15" s="16" t="s">
        <v>15</v>
      </c>
      <c r="V15" s="16" t="s">
        <v>15</v>
      </c>
      <c r="W15" s="16" t="s">
        <v>15</v>
      </c>
      <c r="X15" s="22">
        <f t="shared" si="1"/>
        <v>1</v>
      </c>
      <c r="Y15" s="16" t="s">
        <v>15</v>
      </c>
      <c r="Z15" s="16" t="s">
        <v>15</v>
      </c>
      <c r="AA15" s="16" t="s">
        <v>15</v>
      </c>
      <c r="AB15" s="16" t="s">
        <v>15</v>
      </c>
      <c r="AC15" s="16" t="s">
        <v>15</v>
      </c>
      <c r="AD15" s="16" t="s">
        <v>15</v>
      </c>
      <c r="AE15" s="59" t="s">
        <v>16</v>
      </c>
      <c r="AF15" s="39" t="s">
        <v>15</v>
      </c>
      <c r="AG15" s="16" t="s">
        <v>15</v>
      </c>
      <c r="AH15" s="16" t="s">
        <v>15</v>
      </c>
      <c r="AI15" s="16" t="s">
        <v>15</v>
      </c>
      <c r="AJ15" s="16" t="s">
        <v>15</v>
      </c>
      <c r="AK15" s="16" t="s">
        <v>15</v>
      </c>
      <c r="AL15" s="16" t="s">
        <v>15</v>
      </c>
      <c r="AM15" s="16" t="s">
        <v>15</v>
      </c>
      <c r="AN15" s="16" t="s">
        <v>15</v>
      </c>
      <c r="AO15" s="16" t="s">
        <v>15</v>
      </c>
      <c r="AP15" s="16" t="s">
        <v>15</v>
      </c>
      <c r="AQ15" s="16" t="s">
        <v>15</v>
      </c>
      <c r="AR15" s="100" t="s">
        <v>15</v>
      </c>
      <c r="AS15" s="22">
        <f t="shared" si="2"/>
        <v>0.95</v>
      </c>
      <c r="AT15" s="16" t="s">
        <v>16</v>
      </c>
      <c r="AU15" s="16" t="s">
        <v>16</v>
      </c>
      <c r="AV15" s="16" t="s">
        <v>15</v>
      </c>
      <c r="AW15" s="100" t="s">
        <v>16</v>
      </c>
      <c r="AX15" s="16" t="s">
        <v>16</v>
      </c>
      <c r="AY15" s="16" t="s">
        <v>16</v>
      </c>
      <c r="AZ15" s="16" t="s">
        <v>16</v>
      </c>
      <c r="BA15" s="22">
        <f t="shared" si="3"/>
        <v>0.1428571429</v>
      </c>
      <c r="BB15" s="261" t="s">
        <v>15</v>
      </c>
      <c r="BC15" s="264" t="s">
        <v>16</v>
      </c>
      <c r="BD15" s="261" t="s">
        <v>15</v>
      </c>
      <c r="BE15" s="261" t="s">
        <v>15</v>
      </c>
      <c r="BF15" s="264" t="s">
        <v>16</v>
      </c>
      <c r="BG15" s="152" t="s">
        <v>15</v>
      </c>
      <c r="BH15" s="16" t="s">
        <v>15</v>
      </c>
      <c r="BI15" s="16" t="s">
        <v>15</v>
      </c>
      <c r="BJ15" s="16" t="s">
        <v>15</v>
      </c>
      <c r="BK15" s="16" t="s">
        <v>16</v>
      </c>
      <c r="BL15" s="16" t="s">
        <v>16</v>
      </c>
      <c r="BM15" s="16" t="s">
        <v>15</v>
      </c>
      <c r="BN15" s="261" t="s">
        <v>15</v>
      </c>
      <c r="BO15" s="16" t="s">
        <v>15</v>
      </c>
      <c r="BP15" s="16" t="s">
        <v>15</v>
      </c>
      <c r="BQ15" s="261" t="s">
        <v>15</v>
      </c>
      <c r="BR15" s="261" t="s">
        <v>15</v>
      </c>
      <c r="BS15" s="16" t="s">
        <v>16</v>
      </c>
      <c r="BT15" s="261" t="s">
        <v>15</v>
      </c>
      <c r="BU15" s="16" t="s">
        <v>15</v>
      </c>
      <c r="BV15" s="16" t="s">
        <v>15</v>
      </c>
      <c r="BW15" s="16" t="s">
        <v>15</v>
      </c>
      <c r="BX15" s="22">
        <f t="shared" si="4"/>
        <v>0.7727272727</v>
      </c>
      <c r="BY15" s="107" t="s">
        <v>15</v>
      </c>
    </row>
    <row r="16">
      <c r="A16" s="206">
        <v>12.0</v>
      </c>
      <c r="B16" s="91"/>
      <c r="C16" s="79"/>
      <c r="D16" s="161" t="s">
        <v>15</v>
      </c>
      <c r="E16" s="161" t="s">
        <v>15</v>
      </c>
      <c r="F16" s="161" t="s">
        <v>15</v>
      </c>
      <c r="G16" s="59" t="s">
        <v>15</v>
      </c>
      <c r="H16" s="39" t="s">
        <v>15</v>
      </c>
      <c r="I16" s="16" t="s">
        <v>15</v>
      </c>
      <c r="J16" s="16" t="s">
        <v>15</v>
      </c>
      <c r="K16" s="59" t="s">
        <v>15</v>
      </c>
      <c r="L16" s="39" t="s">
        <v>15</v>
      </c>
      <c r="M16" s="39" t="s">
        <v>15</v>
      </c>
      <c r="N16" s="16" t="s">
        <v>15</v>
      </c>
      <c r="O16" s="59" t="s">
        <v>15</v>
      </c>
      <c r="P16" s="61" t="s">
        <v>15</v>
      </c>
      <c r="Q16" s="228" t="s">
        <v>15</v>
      </c>
      <c r="R16" s="61" t="s">
        <v>15</v>
      </c>
      <c r="S16" s="16" t="s">
        <v>15</v>
      </c>
      <c r="T16" s="16" t="s">
        <v>15</v>
      </c>
      <c r="U16" s="16" t="s">
        <v>15</v>
      </c>
      <c r="V16" s="16" t="s">
        <v>15</v>
      </c>
      <c r="W16" s="16" t="s">
        <v>15</v>
      </c>
      <c r="X16" s="22">
        <f t="shared" si="1"/>
        <v>1</v>
      </c>
      <c r="Y16" s="16" t="s">
        <v>15</v>
      </c>
      <c r="Z16" s="16" t="s">
        <v>15</v>
      </c>
      <c r="AA16" s="16" t="s">
        <v>15</v>
      </c>
      <c r="AB16" s="16" t="s">
        <v>15</v>
      </c>
      <c r="AC16" s="16" t="s">
        <v>15</v>
      </c>
      <c r="AD16" s="16" t="s">
        <v>15</v>
      </c>
      <c r="AE16" s="59" t="s">
        <v>15</v>
      </c>
      <c r="AF16" s="39" t="s">
        <v>15</v>
      </c>
      <c r="AG16" s="16" t="s">
        <v>15</v>
      </c>
      <c r="AH16" s="16" t="s">
        <v>15</v>
      </c>
      <c r="AI16" s="16" t="s">
        <v>15</v>
      </c>
      <c r="AJ16" s="16" t="s">
        <v>15</v>
      </c>
      <c r="AK16" s="16" t="s">
        <v>15</v>
      </c>
      <c r="AL16" s="16" t="s">
        <v>15</v>
      </c>
      <c r="AM16" s="16" t="s">
        <v>15</v>
      </c>
      <c r="AN16" s="16" t="s">
        <v>15</v>
      </c>
      <c r="AO16" s="16" t="s">
        <v>15</v>
      </c>
      <c r="AP16" s="16" t="s">
        <v>15</v>
      </c>
      <c r="AQ16" s="16" t="s">
        <v>15</v>
      </c>
      <c r="AR16" s="100" t="s">
        <v>15</v>
      </c>
      <c r="AS16" s="22">
        <f t="shared" si="2"/>
        <v>1</v>
      </c>
      <c r="AT16" s="16" t="s">
        <v>16</v>
      </c>
      <c r="AU16" s="16" t="s">
        <v>16</v>
      </c>
      <c r="AV16" s="16" t="s">
        <v>15</v>
      </c>
      <c r="AW16" s="16" t="s">
        <v>15</v>
      </c>
      <c r="AX16" s="16" t="s">
        <v>15</v>
      </c>
      <c r="AY16" s="16" t="s">
        <v>15</v>
      </c>
      <c r="AZ16" s="16" t="s">
        <v>15</v>
      </c>
      <c r="BA16" s="22">
        <f t="shared" si="3"/>
        <v>0.7142857143</v>
      </c>
      <c r="BB16" s="261" t="s">
        <v>15</v>
      </c>
      <c r="BC16" s="261" t="s">
        <v>15</v>
      </c>
      <c r="BD16" s="261" t="s">
        <v>15</v>
      </c>
      <c r="BE16" s="261" t="s">
        <v>15</v>
      </c>
      <c r="BF16" s="264" t="s">
        <v>16</v>
      </c>
      <c r="BG16" s="152" t="s">
        <v>15</v>
      </c>
      <c r="BH16" s="16" t="s">
        <v>15</v>
      </c>
      <c r="BI16" s="16" t="s">
        <v>15</v>
      </c>
      <c r="BJ16" s="16" t="s">
        <v>15</v>
      </c>
      <c r="BK16" s="16" t="s">
        <v>16</v>
      </c>
      <c r="BL16" s="16" t="s">
        <v>15</v>
      </c>
      <c r="BM16" s="16" t="s">
        <v>15</v>
      </c>
      <c r="BN16" s="261" t="s">
        <v>15</v>
      </c>
      <c r="BO16" s="16" t="s">
        <v>15</v>
      </c>
      <c r="BP16" s="16" t="s">
        <v>15</v>
      </c>
      <c r="BQ16" s="261" t="s">
        <v>15</v>
      </c>
      <c r="BR16" s="261" t="s">
        <v>15</v>
      </c>
      <c r="BS16" s="16" t="s">
        <v>15</v>
      </c>
      <c r="BT16" s="261" t="s">
        <v>15</v>
      </c>
      <c r="BU16" s="16" t="s">
        <v>15</v>
      </c>
      <c r="BV16" s="16" t="s">
        <v>15</v>
      </c>
      <c r="BW16" s="16" t="s">
        <v>15</v>
      </c>
      <c r="BX16" s="22">
        <f t="shared" si="4"/>
        <v>0.9090909091</v>
      </c>
      <c r="BY16" s="107" t="s">
        <v>16</v>
      </c>
    </row>
    <row r="17">
      <c r="A17" s="206">
        <v>13.0</v>
      </c>
      <c r="B17" s="62"/>
      <c r="C17" s="56"/>
      <c r="D17" s="161" t="s">
        <v>15</v>
      </c>
      <c r="E17" s="161" t="s">
        <v>16</v>
      </c>
      <c r="F17" s="161" t="s">
        <v>15</v>
      </c>
      <c r="G17" s="59" t="s">
        <v>15</v>
      </c>
      <c r="H17" s="39" t="s">
        <v>15</v>
      </c>
      <c r="I17" s="16" t="s">
        <v>15</v>
      </c>
      <c r="J17" s="16" t="s">
        <v>15</v>
      </c>
      <c r="K17" s="59" t="s">
        <v>15</v>
      </c>
      <c r="L17" s="39" t="s">
        <v>15</v>
      </c>
      <c r="M17" s="39" t="s">
        <v>15</v>
      </c>
      <c r="N17" s="16" t="s">
        <v>15</v>
      </c>
      <c r="O17" s="59" t="s">
        <v>15</v>
      </c>
      <c r="P17" s="61" t="s">
        <v>15</v>
      </c>
      <c r="Q17" s="61" t="s">
        <v>15</v>
      </c>
      <c r="R17" s="61" t="s">
        <v>15</v>
      </c>
      <c r="S17" s="16" t="s">
        <v>15</v>
      </c>
      <c r="T17" s="16" t="s">
        <v>15</v>
      </c>
      <c r="U17" s="16" t="s">
        <v>15</v>
      </c>
      <c r="V17" s="16" t="s">
        <v>15</v>
      </c>
      <c r="W17" s="16" t="s">
        <v>15</v>
      </c>
      <c r="X17" s="22">
        <f t="shared" si="1"/>
        <v>0.95</v>
      </c>
      <c r="Y17" s="16" t="s">
        <v>16</v>
      </c>
      <c r="Z17" s="16" t="s">
        <v>15</v>
      </c>
      <c r="AA17" s="16" t="s">
        <v>16</v>
      </c>
      <c r="AB17" s="16" t="s">
        <v>15</v>
      </c>
      <c r="AC17" s="16" t="s">
        <v>15</v>
      </c>
      <c r="AD17" s="16" t="s">
        <v>15</v>
      </c>
      <c r="AE17" s="59" t="s">
        <v>16</v>
      </c>
      <c r="AF17" s="39" t="s">
        <v>15</v>
      </c>
      <c r="AG17" s="16" t="s">
        <v>15</v>
      </c>
      <c r="AH17" s="16" t="s">
        <v>15</v>
      </c>
      <c r="AI17" s="16" t="s">
        <v>15</v>
      </c>
      <c r="AJ17" s="16" t="s">
        <v>15</v>
      </c>
      <c r="AK17" s="16" t="s">
        <v>15</v>
      </c>
      <c r="AL17" s="16" t="s">
        <v>15</v>
      </c>
      <c r="AM17" s="16" t="s">
        <v>15</v>
      </c>
      <c r="AN17" s="16" t="s">
        <v>16</v>
      </c>
      <c r="AO17" s="16" t="s">
        <v>15</v>
      </c>
      <c r="AP17" s="16" t="s">
        <v>15</v>
      </c>
      <c r="AQ17" s="16" t="s">
        <v>15</v>
      </c>
      <c r="AR17" s="100" t="s">
        <v>15</v>
      </c>
      <c r="AS17" s="22">
        <f t="shared" si="2"/>
        <v>0.8</v>
      </c>
      <c r="AT17" s="16" t="s">
        <v>16</v>
      </c>
      <c r="AU17" s="16" t="s">
        <v>16</v>
      </c>
      <c r="AV17" s="16" t="s">
        <v>15</v>
      </c>
      <c r="AW17" s="16" t="s">
        <v>15</v>
      </c>
      <c r="AX17" s="16" t="s">
        <v>15</v>
      </c>
      <c r="AY17" s="16" t="s">
        <v>16</v>
      </c>
      <c r="AZ17" s="16" t="s">
        <v>15</v>
      </c>
      <c r="BA17" s="22">
        <f t="shared" si="3"/>
        <v>0.5714285714</v>
      </c>
      <c r="BB17" s="261" t="s">
        <v>15</v>
      </c>
      <c r="BC17" s="261" t="s">
        <v>15</v>
      </c>
      <c r="BD17" s="261" t="s">
        <v>15</v>
      </c>
      <c r="BE17" s="264" t="s">
        <v>16</v>
      </c>
      <c r="BF17" s="264" t="s">
        <v>15</v>
      </c>
      <c r="BG17" s="152" t="s">
        <v>16</v>
      </c>
      <c r="BH17" s="16" t="s">
        <v>15</v>
      </c>
      <c r="BI17" s="16" t="s">
        <v>15</v>
      </c>
      <c r="BJ17" s="16" t="s">
        <v>16</v>
      </c>
      <c r="BK17" s="16" t="s">
        <v>15</v>
      </c>
      <c r="BL17" s="16" t="s">
        <v>15</v>
      </c>
      <c r="BM17" s="16" t="s">
        <v>15</v>
      </c>
      <c r="BN17" s="261" t="s">
        <v>15</v>
      </c>
      <c r="BO17" s="16" t="s">
        <v>15</v>
      </c>
      <c r="BP17" s="16" t="s">
        <v>15</v>
      </c>
      <c r="BQ17" s="261" t="s">
        <v>15</v>
      </c>
      <c r="BR17" s="261" t="s">
        <v>15</v>
      </c>
      <c r="BS17" s="16" t="s">
        <v>15</v>
      </c>
      <c r="BT17" s="261" t="s">
        <v>15</v>
      </c>
      <c r="BU17" s="16" t="s">
        <v>15</v>
      </c>
      <c r="BV17" s="16" t="s">
        <v>15</v>
      </c>
      <c r="BW17" s="16" t="s">
        <v>16</v>
      </c>
      <c r="BX17" s="22">
        <f t="shared" si="4"/>
        <v>0.8181818182</v>
      </c>
      <c r="BY17" s="107" t="s">
        <v>15</v>
      </c>
    </row>
    <row r="18">
      <c r="A18" s="206">
        <v>14.0</v>
      </c>
      <c r="B18" s="62"/>
      <c r="C18" s="79"/>
      <c r="D18" s="161" t="s">
        <v>15</v>
      </c>
      <c r="E18" s="161" t="s">
        <v>15</v>
      </c>
      <c r="F18" s="161" t="s">
        <v>15</v>
      </c>
      <c r="G18" s="59" t="s">
        <v>15</v>
      </c>
      <c r="H18" s="39" t="s">
        <v>15</v>
      </c>
      <c r="I18" s="16" t="s">
        <v>15</v>
      </c>
      <c r="J18" s="16" t="s">
        <v>15</v>
      </c>
      <c r="K18" s="59" t="s">
        <v>15</v>
      </c>
      <c r="L18" s="39" t="s">
        <v>15</v>
      </c>
      <c r="M18" s="207" t="s">
        <v>16</v>
      </c>
      <c r="N18" s="16" t="s">
        <v>15</v>
      </c>
      <c r="O18" s="59" t="s">
        <v>15</v>
      </c>
      <c r="P18" s="61" t="s">
        <v>15</v>
      </c>
      <c r="Q18" s="61" t="s">
        <v>15</v>
      </c>
      <c r="R18" s="278" t="s">
        <v>16</v>
      </c>
      <c r="S18" s="16" t="s">
        <v>15</v>
      </c>
      <c r="T18" s="16" t="s">
        <v>15</v>
      </c>
      <c r="U18" s="16" t="s">
        <v>15</v>
      </c>
      <c r="V18" s="16" t="s">
        <v>16</v>
      </c>
      <c r="W18" s="16" t="s">
        <v>16</v>
      </c>
      <c r="X18" s="22">
        <f t="shared" si="1"/>
        <v>0.8</v>
      </c>
      <c r="Y18" s="16" t="s">
        <v>15</v>
      </c>
      <c r="Z18" s="16" t="s">
        <v>16</v>
      </c>
      <c r="AA18" s="16" t="s">
        <v>16</v>
      </c>
      <c r="AB18" s="16" t="s">
        <v>15</v>
      </c>
      <c r="AC18" s="16" t="s">
        <v>15</v>
      </c>
      <c r="AD18" s="16" t="s">
        <v>15</v>
      </c>
      <c r="AE18" s="59" t="s">
        <v>15</v>
      </c>
      <c r="AF18" s="39" t="s">
        <v>15</v>
      </c>
      <c r="AG18" s="16" t="s">
        <v>15</v>
      </c>
      <c r="AH18" s="16" t="s">
        <v>15</v>
      </c>
      <c r="AI18" s="16" t="s">
        <v>15</v>
      </c>
      <c r="AJ18" s="16" t="s">
        <v>15</v>
      </c>
      <c r="AK18" s="16" t="s">
        <v>15</v>
      </c>
      <c r="AL18" s="16" t="s">
        <v>15</v>
      </c>
      <c r="AM18" s="16" t="s">
        <v>15</v>
      </c>
      <c r="AN18" s="16" t="s">
        <v>16</v>
      </c>
      <c r="AO18" s="16" t="s">
        <v>15</v>
      </c>
      <c r="AP18" s="16" t="s">
        <v>15</v>
      </c>
      <c r="AQ18" s="16" t="s">
        <v>15</v>
      </c>
      <c r="AR18" s="16" t="s">
        <v>16</v>
      </c>
      <c r="AS18" s="22">
        <f t="shared" si="2"/>
        <v>0.8</v>
      </c>
      <c r="AT18" s="16" t="s">
        <v>16</v>
      </c>
      <c r="AU18" s="16" t="s">
        <v>16</v>
      </c>
      <c r="AV18" s="16" t="s">
        <v>15</v>
      </c>
      <c r="AW18" s="100" t="s">
        <v>16</v>
      </c>
      <c r="AX18" s="16" t="s">
        <v>16</v>
      </c>
      <c r="AY18" s="16" t="s">
        <v>16</v>
      </c>
      <c r="AZ18" s="16" t="s">
        <v>16</v>
      </c>
      <c r="BA18" s="22">
        <f t="shared" si="3"/>
        <v>0.1428571429</v>
      </c>
      <c r="BB18" s="261" t="s">
        <v>15</v>
      </c>
      <c r="BC18" s="264" t="s">
        <v>16</v>
      </c>
      <c r="BD18" s="261" t="s">
        <v>15</v>
      </c>
      <c r="BE18" s="261" t="s">
        <v>15</v>
      </c>
      <c r="BF18" s="264" t="s">
        <v>16</v>
      </c>
      <c r="BG18" s="152" t="s">
        <v>16</v>
      </c>
      <c r="BH18" s="16" t="s">
        <v>15</v>
      </c>
      <c r="BI18" s="16" t="s">
        <v>15</v>
      </c>
      <c r="BJ18" s="16" t="s">
        <v>16</v>
      </c>
      <c r="BK18" s="16" t="s">
        <v>16</v>
      </c>
      <c r="BL18" s="16" t="s">
        <v>15</v>
      </c>
      <c r="BM18" s="16" t="s">
        <v>16</v>
      </c>
      <c r="BN18" s="261" t="s">
        <v>15</v>
      </c>
      <c r="BO18" s="16" t="s">
        <v>16</v>
      </c>
      <c r="BP18" s="16" t="s">
        <v>15</v>
      </c>
      <c r="BQ18" s="261" t="s">
        <v>15</v>
      </c>
      <c r="BR18" s="261" t="s">
        <v>15</v>
      </c>
      <c r="BS18" s="16" t="s">
        <v>16</v>
      </c>
      <c r="BT18" s="261" t="s">
        <v>15</v>
      </c>
      <c r="BU18" s="16" t="s">
        <v>15</v>
      </c>
      <c r="BV18" s="16" t="s">
        <v>15</v>
      </c>
      <c r="BW18" s="16" t="s">
        <v>16</v>
      </c>
      <c r="BX18" s="22">
        <f t="shared" si="4"/>
        <v>0.5909090909</v>
      </c>
      <c r="BY18" s="107" t="s">
        <v>16</v>
      </c>
    </row>
    <row r="19">
      <c r="A19" s="206">
        <v>15.0</v>
      </c>
      <c r="B19" s="62"/>
      <c r="C19" s="79"/>
      <c r="D19" s="161" t="s">
        <v>15</v>
      </c>
      <c r="E19" s="161" t="s">
        <v>15</v>
      </c>
      <c r="F19" s="161" t="s">
        <v>15</v>
      </c>
      <c r="G19" s="59" t="s">
        <v>15</v>
      </c>
      <c r="H19" s="39" t="s">
        <v>15</v>
      </c>
      <c r="I19" s="16" t="s">
        <v>16</v>
      </c>
      <c r="J19" s="16" t="s">
        <v>15</v>
      </c>
      <c r="K19" s="59" t="s">
        <v>15</v>
      </c>
      <c r="L19" s="39" t="s">
        <v>15</v>
      </c>
      <c r="M19" s="39" t="s">
        <v>15</v>
      </c>
      <c r="N19" s="16" t="s">
        <v>15</v>
      </c>
      <c r="O19" s="59" t="s">
        <v>15</v>
      </c>
      <c r="P19" s="207" t="s">
        <v>16</v>
      </c>
      <c r="Q19" s="61" t="s">
        <v>15</v>
      </c>
      <c r="R19" s="61" t="s">
        <v>15</v>
      </c>
      <c r="S19" s="16" t="s">
        <v>16</v>
      </c>
      <c r="T19" s="16" t="s">
        <v>15</v>
      </c>
      <c r="U19" s="16" t="s">
        <v>15</v>
      </c>
      <c r="V19" s="16" t="s">
        <v>15</v>
      </c>
      <c r="W19" s="16" t="s">
        <v>15</v>
      </c>
      <c r="X19" s="22">
        <f t="shared" si="1"/>
        <v>0.85</v>
      </c>
      <c r="Y19" s="16" t="s">
        <v>16</v>
      </c>
      <c r="Z19" s="16" t="s">
        <v>15</v>
      </c>
      <c r="AA19" s="16" t="s">
        <v>16</v>
      </c>
      <c r="AB19" s="16" t="s">
        <v>15</v>
      </c>
      <c r="AC19" s="16" t="s">
        <v>15</v>
      </c>
      <c r="AD19" s="16" t="s">
        <v>15</v>
      </c>
      <c r="AE19" s="59" t="s">
        <v>15</v>
      </c>
      <c r="AF19" s="59" t="s">
        <v>16</v>
      </c>
      <c r="AG19" s="16" t="s">
        <v>15</v>
      </c>
      <c r="AH19" s="16" t="s">
        <v>15</v>
      </c>
      <c r="AI19" s="16" t="s">
        <v>16</v>
      </c>
      <c r="AJ19" s="16" t="s">
        <v>15</v>
      </c>
      <c r="AK19" s="16" t="s">
        <v>15</v>
      </c>
      <c r="AL19" s="16" t="s">
        <v>16</v>
      </c>
      <c r="AM19" s="16" t="s">
        <v>15</v>
      </c>
      <c r="AN19" s="16" t="s">
        <v>16</v>
      </c>
      <c r="AO19" s="16" t="s">
        <v>15</v>
      </c>
      <c r="AP19" s="16" t="s">
        <v>15</v>
      </c>
      <c r="AQ19" s="16" t="s">
        <v>15</v>
      </c>
      <c r="AR19" s="100" t="s">
        <v>15</v>
      </c>
      <c r="AS19" s="22">
        <f t="shared" si="2"/>
        <v>0.7</v>
      </c>
      <c r="AT19" s="16" t="s">
        <v>16</v>
      </c>
      <c r="AU19" s="16" t="s">
        <v>16</v>
      </c>
      <c r="AV19" s="16" t="s">
        <v>15</v>
      </c>
      <c r="AW19" s="16" t="s">
        <v>15</v>
      </c>
      <c r="AX19" s="16" t="s">
        <v>15</v>
      </c>
      <c r="AY19" s="16" t="s">
        <v>16</v>
      </c>
      <c r="AZ19" s="16" t="s">
        <v>15</v>
      </c>
      <c r="BA19" s="22">
        <f t="shared" si="3"/>
        <v>0.5714285714</v>
      </c>
      <c r="BB19" s="261" t="s">
        <v>15</v>
      </c>
      <c r="BC19" s="261" t="s">
        <v>15</v>
      </c>
      <c r="BD19" s="261" t="s">
        <v>15</v>
      </c>
      <c r="BE19" s="261" t="s">
        <v>15</v>
      </c>
      <c r="BF19" s="264" t="s">
        <v>16</v>
      </c>
      <c r="BG19" s="152" t="s">
        <v>15</v>
      </c>
      <c r="BH19" s="16" t="s">
        <v>15</v>
      </c>
      <c r="BI19" s="16" t="s">
        <v>15</v>
      </c>
      <c r="BJ19" s="16" t="s">
        <v>15</v>
      </c>
      <c r="BK19" s="16" t="s">
        <v>16</v>
      </c>
      <c r="BL19" s="16" t="s">
        <v>15</v>
      </c>
      <c r="BM19" s="16" t="s">
        <v>15</v>
      </c>
      <c r="BN19" s="261" t="s">
        <v>15</v>
      </c>
      <c r="BO19" s="16" t="s">
        <v>15</v>
      </c>
      <c r="BP19" s="16" t="s">
        <v>16</v>
      </c>
      <c r="BQ19" s="261" t="s">
        <v>15</v>
      </c>
      <c r="BR19" s="261" t="s">
        <v>15</v>
      </c>
      <c r="BS19" s="16" t="s">
        <v>15</v>
      </c>
      <c r="BT19" s="261" t="s">
        <v>15</v>
      </c>
      <c r="BU19" s="16" t="s">
        <v>15</v>
      </c>
      <c r="BV19" s="16" t="s">
        <v>15</v>
      </c>
      <c r="BW19" s="16" t="s">
        <v>15</v>
      </c>
      <c r="BX19" s="22">
        <f t="shared" si="4"/>
        <v>0.8636363636</v>
      </c>
      <c r="BY19" s="107" t="s">
        <v>15</v>
      </c>
    </row>
    <row r="20">
      <c r="A20" s="123">
        <v>16.0</v>
      </c>
      <c r="B20" s="81"/>
      <c r="C20" s="56"/>
      <c r="D20" s="161" t="s">
        <v>15</v>
      </c>
      <c r="E20" s="161" t="s">
        <v>16</v>
      </c>
      <c r="F20" s="161" t="s">
        <v>15</v>
      </c>
      <c r="G20" s="59" t="s">
        <v>15</v>
      </c>
      <c r="H20" s="39" t="s">
        <v>15</v>
      </c>
      <c r="I20" s="16" t="s">
        <v>15</v>
      </c>
      <c r="J20" s="16" t="s">
        <v>15</v>
      </c>
      <c r="K20" s="59" t="s">
        <v>15</v>
      </c>
      <c r="L20" s="39" t="s">
        <v>15</v>
      </c>
      <c r="M20" s="39" t="s">
        <v>15</v>
      </c>
      <c r="N20" s="16" t="s">
        <v>15</v>
      </c>
      <c r="O20" s="59" t="s">
        <v>15</v>
      </c>
      <c r="P20" s="61" t="s">
        <v>15</v>
      </c>
      <c r="Q20" s="61" t="s">
        <v>15</v>
      </c>
      <c r="R20" s="61" t="s">
        <v>15</v>
      </c>
      <c r="S20" s="16" t="s">
        <v>15</v>
      </c>
      <c r="T20" s="16" t="s">
        <v>15</v>
      </c>
      <c r="U20" s="16" t="s">
        <v>15</v>
      </c>
      <c r="V20" s="16" t="s">
        <v>15</v>
      </c>
      <c r="W20" s="16" t="s">
        <v>15</v>
      </c>
      <c r="X20" s="22">
        <f t="shared" si="1"/>
        <v>0.95</v>
      </c>
      <c r="Y20" s="16" t="s">
        <v>15</v>
      </c>
      <c r="Z20" s="16" t="s">
        <v>15</v>
      </c>
      <c r="AA20" s="16" t="s">
        <v>15</v>
      </c>
      <c r="AB20" s="16" t="s">
        <v>15</v>
      </c>
      <c r="AC20" s="16" t="s">
        <v>15</v>
      </c>
      <c r="AD20" s="16" t="s">
        <v>15</v>
      </c>
      <c r="AE20" s="59" t="s">
        <v>15</v>
      </c>
      <c r="AF20" s="39" t="s">
        <v>15</v>
      </c>
      <c r="AG20" s="16" t="s">
        <v>15</v>
      </c>
      <c r="AH20" s="16" t="s">
        <v>16</v>
      </c>
      <c r="AI20" s="16" t="s">
        <v>16</v>
      </c>
      <c r="AJ20" s="16" t="s">
        <v>16</v>
      </c>
      <c r="AK20" s="16" t="s">
        <v>16</v>
      </c>
      <c r="AL20" s="16" t="s">
        <v>15</v>
      </c>
      <c r="AM20" s="16" t="s">
        <v>15</v>
      </c>
      <c r="AN20" s="16" t="s">
        <v>16</v>
      </c>
      <c r="AO20" s="16" t="s">
        <v>15</v>
      </c>
      <c r="AP20" s="16" t="s">
        <v>15</v>
      </c>
      <c r="AQ20" s="16" t="s">
        <v>15</v>
      </c>
      <c r="AR20" s="16" t="s">
        <v>16</v>
      </c>
      <c r="AS20" s="22">
        <f t="shared" si="2"/>
        <v>0.7</v>
      </c>
      <c r="AT20" s="16" t="s">
        <v>15</v>
      </c>
      <c r="AU20" s="16" t="s">
        <v>16</v>
      </c>
      <c r="AV20" s="16" t="s">
        <v>15</v>
      </c>
      <c r="AW20" s="100" t="s">
        <v>16</v>
      </c>
      <c r="AX20" s="16" t="s">
        <v>15</v>
      </c>
      <c r="AY20" s="16" t="s">
        <v>16</v>
      </c>
      <c r="AZ20" s="16" t="s">
        <v>15</v>
      </c>
      <c r="BA20" s="22">
        <f t="shared" si="3"/>
        <v>0.5714285714</v>
      </c>
      <c r="BB20" s="261" t="s">
        <v>15</v>
      </c>
      <c r="BC20" s="261" t="s">
        <v>15</v>
      </c>
      <c r="BD20" s="261" t="s">
        <v>15</v>
      </c>
      <c r="BE20" s="261" t="s">
        <v>15</v>
      </c>
      <c r="BF20" s="264" t="s">
        <v>16</v>
      </c>
      <c r="BG20" s="152" t="s">
        <v>15</v>
      </c>
      <c r="BH20" s="16" t="s">
        <v>15</v>
      </c>
      <c r="BI20" s="16" t="s">
        <v>15</v>
      </c>
      <c r="BJ20" s="16" t="s">
        <v>15</v>
      </c>
      <c r="BK20" s="16" t="s">
        <v>15</v>
      </c>
      <c r="BL20" s="16" t="s">
        <v>15</v>
      </c>
      <c r="BM20" s="16" t="s">
        <v>15</v>
      </c>
      <c r="BN20" s="261" t="s">
        <v>15</v>
      </c>
      <c r="BO20" s="16" t="s">
        <v>15</v>
      </c>
      <c r="BP20" s="16" t="s">
        <v>15</v>
      </c>
      <c r="BQ20" s="261" t="s">
        <v>15</v>
      </c>
      <c r="BR20" s="261" t="s">
        <v>15</v>
      </c>
      <c r="BS20" s="16" t="s">
        <v>15</v>
      </c>
      <c r="BT20" s="261" t="s">
        <v>15</v>
      </c>
      <c r="BU20" s="16" t="s">
        <v>15</v>
      </c>
      <c r="BV20" s="16" t="s">
        <v>15</v>
      </c>
      <c r="BW20" s="16" t="s">
        <v>16</v>
      </c>
      <c r="BX20" s="22">
        <f t="shared" si="4"/>
        <v>0.9090909091</v>
      </c>
      <c r="BY20" s="107" t="s">
        <v>15</v>
      </c>
    </row>
    <row r="21">
      <c r="A21" s="206">
        <v>17.0</v>
      </c>
      <c r="B21" s="62"/>
      <c r="C21" s="79"/>
      <c r="D21" s="161" t="s">
        <v>15</v>
      </c>
      <c r="E21" s="161" t="s">
        <v>15</v>
      </c>
      <c r="F21" s="161" t="s">
        <v>15</v>
      </c>
      <c r="G21" s="59" t="s">
        <v>15</v>
      </c>
      <c r="H21" s="39" t="s">
        <v>15</v>
      </c>
      <c r="I21" s="16" t="s">
        <v>16</v>
      </c>
      <c r="J21" s="16" t="s">
        <v>15</v>
      </c>
      <c r="K21" s="59" t="s">
        <v>15</v>
      </c>
      <c r="L21" s="39" t="s">
        <v>15</v>
      </c>
      <c r="M21" s="207" t="s">
        <v>16</v>
      </c>
      <c r="N21" s="16" t="s">
        <v>15</v>
      </c>
      <c r="O21" s="59" t="s">
        <v>15</v>
      </c>
      <c r="P21" s="61" t="s">
        <v>15</v>
      </c>
      <c r="Q21" s="61" t="s">
        <v>15</v>
      </c>
      <c r="R21" s="61" t="s">
        <v>15</v>
      </c>
      <c r="S21" s="16" t="s">
        <v>15</v>
      </c>
      <c r="T21" s="16" t="s">
        <v>15</v>
      </c>
      <c r="U21" s="16" t="s">
        <v>15</v>
      </c>
      <c r="V21" s="16" t="s">
        <v>15</v>
      </c>
      <c r="W21" s="16" t="s">
        <v>15</v>
      </c>
      <c r="X21" s="22">
        <f t="shared" si="1"/>
        <v>0.9</v>
      </c>
      <c r="Y21" s="16" t="s">
        <v>15</v>
      </c>
      <c r="Z21" s="16" t="s">
        <v>15</v>
      </c>
      <c r="AA21" s="16" t="s">
        <v>15</v>
      </c>
      <c r="AB21" s="16" t="s">
        <v>15</v>
      </c>
      <c r="AC21" s="16" t="s">
        <v>15</v>
      </c>
      <c r="AD21" s="16" t="s">
        <v>16</v>
      </c>
      <c r="AE21" s="59" t="s">
        <v>15</v>
      </c>
      <c r="AF21" s="59" t="s">
        <v>16</v>
      </c>
      <c r="AG21" s="16" t="s">
        <v>15</v>
      </c>
      <c r="AH21" s="16" t="s">
        <v>15</v>
      </c>
      <c r="AI21" s="16" t="s">
        <v>15</v>
      </c>
      <c r="AJ21" s="16" t="s">
        <v>16</v>
      </c>
      <c r="AK21" s="16" t="s">
        <v>15</v>
      </c>
      <c r="AL21" s="16" t="s">
        <v>15</v>
      </c>
      <c r="AM21" s="16" t="s">
        <v>15</v>
      </c>
      <c r="AN21" s="16" t="s">
        <v>16</v>
      </c>
      <c r="AO21" s="16" t="s">
        <v>15</v>
      </c>
      <c r="AP21" s="16" t="s">
        <v>15</v>
      </c>
      <c r="AQ21" s="16" t="s">
        <v>15</v>
      </c>
      <c r="AR21" s="16" t="s">
        <v>16</v>
      </c>
      <c r="AS21" s="22">
        <f t="shared" si="2"/>
        <v>0.75</v>
      </c>
      <c r="AT21" s="16" t="s">
        <v>16</v>
      </c>
      <c r="AU21" s="16" t="s">
        <v>16</v>
      </c>
      <c r="AV21" s="16" t="s">
        <v>15</v>
      </c>
      <c r="AW21" s="100" t="s">
        <v>16</v>
      </c>
      <c r="AX21" s="16" t="s">
        <v>16</v>
      </c>
      <c r="AY21" s="16" t="s">
        <v>16</v>
      </c>
      <c r="AZ21" s="16" t="s">
        <v>16</v>
      </c>
      <c r="BA21" s="22">
        <f t="shared" si="3"/>
        <v>0.1428571429</v>
      </c>
      <c r="BB21" s="261" t="s">
        <v>15</v>
      </c>
      <c r="BC21" s="261" t="s">
        <v>15</v>
      </c>
      <c r="BD21" s="261" t="s">
        <v>15</v>
      </c>
      <c r="BE21" s="261" t="s">
        <v>15</v>
      </c>
      <c r="BF21" s="264" t="s">
        <v>15</v>
      </c>
      <c r="BG21" s="152" t="s">
        <v>16</v>
      </c>
      <c r="BH21" s="16" t="s">
        <v>15</v>
      </c>
      <c r="BI21" s="16" t="s">
        <v>15</v>
      </c>
      <c r="BJ21" s="16" t="s">
        <v>15</v>
      </c>
      <c r="BK21" s="16" t="s">
        <v>16</v>
      </c>
      <c r="BL21" s="16" t="s">
        <v>15</v>
      </c>
      <c r="BM21" s="16" t="s">
        <v>16</v>
      </c>
      <c r="BN21" s="261" t="s">
        <v>15</v>
      </c>
      <c r="BO21" s="16" t="s">
        <v>16</v>
      </c>
      <c r="BP21" s="16" t="s">
        <v>15</v>
      </c>
      <c r="BQ21" s="261" t="s">
        <v>15</v>
      </c>
      <c r="BR21" s="261" t="s">
        <v>15</v>
      </c>
      <c r="BS21" s="16" t="s">
        <v>15</v>
      </c>
      <c r="BT21" s="261" t="s">
        <v>15</v>
      </c>
      <c r="BU21" s="16" t="s">
        <v>15</v>
      </c>
      <c r="BV21" s="16" t="s">
        <v>15</v>
      </c>
      <c r="BW21" s="16" t="s">
        <v>15</v>
      </c>
      <c r="BX21" s="22">
        <f t="shared" si="4"/>
        <v>0.8181818182</v>
      </c>
      <c r="BY21" s="107" t="s">
        <v>16</v>
      </c>
    </row>
    <row r="22">
      <c r="A22" s="206">
        <v>18.0</v>
      </c>
      <c r="B22" s="62"/>
      <c r="C22" s="79"/>
      <c r="D22" s="161" t="s">
        <v>15</v>
      </c>
      <c r="E22" s="161" t="s">
        <v>15</v>
      </c>
      <c r="F22" s="161" t="s">
        <v>15</v>
      </c>
      <c r="G22" s="59" t="s">
        <v>15</v>
      </c>
      <c r="H22" s="39" t="s">
        <v>15</v>
      </c>
      <c r="I22" s="16" t="s">
        <v>15</v>
      </c>
      <c r="J22" s="16" t="s">
        <v>15</v>
      </c>
      <c r="K22" s="59" t="s">
        <v>15</v>
      </c>
      <c r="L22" s="207" t="s">
        <v>16</v>
      </c>
      <c r="M22" s="207" t="s">
        <v>16</v>
      </c>
      <c r="N22" s="16" t="s">
        <v>15</v>
      </c>
      <c r="O22" s="59" t="s">
        <v>15</v>
      </c>
      <c r="P22" s="61" t="s">
        <v>15</v>
      </c>
      <c r="Q22" s="61" t="s">
        <v>15</v>
      </c>
      <c r="R22" s="61" t="s">
        <v>15</v>
      </c>
      <c r="S22" s="16" t="s">
        <v>15</v>
      </c>
      <c r="T22" s="16" t="s">
        <v>15</v>
      </c>
      <c r="U22" s="16" t="s">
        <v>15</v>
      </c>
      <c r="V22" s="16" t="s">
        <v>16</v>
      </c>
      <c r="W22" s="16" t="s">
        <v>15</v>
      </c>
      <c r="X22" s="22">
        <f t="shared" si="1"/>
        <v>0.85</v>
      </c>
      <c r="Y22" s="16" t="s">
        <v>15</v>
      </c>
      <c r="Z22" s="16" t="s">
        <v>15</v>
      </c>
      <c r="AA22" s="16" t="s">
        <v>15</v>
      </c>
      <c r="AB22" s="16" t="s">
        <v>15</v>
      </c>
      <c r="AC22" s="16" t="s">
        <v>15</v>
      </c>
      <c r="AD22" s="16" t="s">
        <v>15</v>
      </c>
      <c r="AE22" s="59" t="s">
        <v>15</v>
      </c>
      <c r="AF22" s="39" t="s">
        <v>15</v>
      </c>
      <c r="AG22" s="16" t="s">
        <v>15</v>
      </c>
      <c r="AH22" s="16" t="s">
        <v>15</v>
      </c>
      <c r="AI22" s="16" t="s">
        <v>15</v>
      </c>
      <c r="AJ22" s="16" t="s">
        <v>15</v>
      </c>
      <c r="AK22" s="16" t="s">
        <v>15</v>
      </c>
      <c r="AL22" s="16" t="s">
        <v>15</v>
      </c>
      <c r="AM22" s="16" t="s">
        <v>15</v>
      </c>
      <c r="AN22" s="16" t="s">
        <v>16</v>
      </c>
      <c r="AO22" s="16" t="s">
        <v>15</v>
      </c>
      <c r="AP22" s="16" t="s">
        <v>15</v>
      </c>
      <c r="AQ22" s="16" t="s">
        <v>15</v>
      </c>
      <c r="AR22" s="16" t="s">
        <v>16</v>
      </c>
      <c r="AS22" s="22">
        <f t="shared" si="2"/>
        <v>0.9</v>
      </c>
      <c r="AT22" s="16" t="s">
        <v>16</v>
      </c>
      <c r="AU22" s="16" t="s">
        <v>16</v>
      </c>
      <c r="AV22" s="16" t="s">
        <v>15</v>
      </c>
      <c r="AW22" s="100" t="s">
        <v>16</v>
      </c>
      <c r="AX22" s="16" t="s">
        <v>15</v>
      </c>
      <c r="AY22" s="16" t="s">
        <v>15</v>
      </c>
      <c r="AZ22" s="16" t="s">
        <v>16</v>
      </c>
      <c r="BA22" s="22">
        <f t="shared" si="3"/>
        <v>0.4285714286</v>
      </c>
      <c r="BB22" s="261" t="s">
        <v>15</v>
      </c>
      <c r="BC22" s="261" t="s">
        <v>15</v>
      </c>
      <c r="BD22" s="261" t="s">
        <v>15</v>
      </c>
      <c r="BE22" s="264" t="s">
        <v>16</v>
      </c>
      <c r="BF22" s="264" t="s">
        <v>16</v>
      </c>
      <c r="BG22" s="152" t="s">
        <v>15</v>
      </c>
      <c r="BH22" s="16" t="s">
        <v>15</v>
      </c>
      <c r="BI22" s="16" t="s">
        <v>15</v>
      </c>
      <c r="BJ22" s="16" t="s">
        <v>15</v>
      </c>
      <c r="BK22" s="16" t="s">
        <v>15</v>
      </c>
      <c r="BL22" s="16" t="s">
        <v>15</v>
      </c>
      <c r="BM22" s="16" t="s">
        <v>15</v>
      </c>
      <c r="BN22" s="261" t="s">
        <v>15</v>
      </c>
      <c r="BO22" s="16" t="s">
        <v>15</v>
      </c>
      <c r="BP22" s="16" t="s">
        <v>15</v>
      </c>
      <c r="BQ22" s="261" t="s">
        <v>15</v>
      </c>
      <c r="BR22" s="261" t="s">
        <v>15</v>
      </c>
      <c r="BS22" s="16" t="s">
        <v>15</v>
      </c>
      <c r="BT22" s="261" t="s">
        <v>15</v>
      </c>
      <c r="BU22" s="16" t="s">
        <v>15</v>
      </c>
      <c r="BV22" s="16" t="s">
        <v>15</v>
      </c>
      <c r="BW22" s="16" t="s">
        <v>16</v>
      </c>
      <c r="BX22" s="22">
        <f t="shared" si="4"/>
        <v>0.8636363636</v>
      </c>
      <c r="BY22" s="107" t="s">
        <v>15</v>
      </c>
    </row>
    <row r="23">
      <c r="A23" s="206">
        <v>19.0</v>
      </c>
      <c r="B23" s="62"/>
      <c r="C23" s="123"/>
      <c r="D23" s="161" t="s">
        <v>15</v>
      </c>
      <c r="E23" s="161" t="s">
        <v>16</v>
      </c>
      <c r="F23" s="161" t="s">
        <v>15</v>
      </c>
      <c r="G23" s="59" t="s">
        <v>15</v>
      </c>
      <c r="H23" s="70" t="s">
        <v>16</v>
      </c>
      <c r="I23" s="16" t="s">
        <v>15</v>
      </c>
      <c r="J23" s="16" t="s">
        <v>15</v>
      </c>
      <c r="K23" s="59" t="s">
        <v>15</v>
      </c>
      <c r="L23" s="207" t="s">
        <v>16</v>
      </c>
      <c r="M23" s="39" t="s">
        <v>15</v>
      </c>
      <c r="N23" s="16" t="s">
        <v>16</v>
      </c>
      <c r="O23" s="59" t="s">
        <v>15</v>
      </c>
      <c r="P23" s="61" t="s">
        <v>15</v>
      </c>
      <c r="Q23" s="61" t="s">
        <v>15</v>
      </c>
      <c r="R23" s="278" t="s">
        <v>16</v>
      </c>
      <c r="S23" s="16" t="s">
        <v>16</v>
      </c>
      <c r="T23" s="16" t="s">
        <v>16</v>
      </c>
      <c r="U23" s="16" t="s">
        <v>16</v>
      </c>
      <c r="V23" s="16" t="s">
        <v>15</v>
      </c>
      <c r="W23" s="16" t="s">
        <v>16</v>
      </c>
      <c r="X23" s="22">
        <f t="shared" si="1"/>
        <v>0.55</v>
      </c>
      <c r="Y23" s="16" t="s">
        <v>16</v>
      </c>
      <c r="Z23" s="16" t="s">
        <v>16</v>
      </c>
      <c r="AA23" s="16" t="s">
        <v>16</v>
      </c>
      <c r="AB23" s="16" t="s">
        <v>15</v>
      </c>
      <c r="AC23" s="16" t="s">
        <v>15</v>
      </c>
      <c r="AD23" s="16" t="s">
        <v>16</v>
      </c>
      <c r="AE23" s="59" t="s">
        <v>15</v>
      </c>
      <c r="AF23" s="59" t="s">
        <v>16</v>
      </c>
      <c r="AG23" s="16" t="s">
        <v>16</v>
      </c>
      <c r="AH23" s="16" t="s">
        <v>15</v>
      </c>
      <c r="AI23" s="16" t="s">
        <v>15</v>
      </c>
      <c r="AJ23" s="16" t="s">
        <v>16</v>
      </c>
      <c r="AK23" s="16" t="s">
        <v>15</v>
      </c>
      <c r="AL23" s="16" t="s">
        <v>15</v>
      </c>
      <c r="AM23" s="16" t="s">
        <v>15</v>
      </c>
      <c r="AN23" s="16" t="s">
        <v>16</v>
      </c>
      <c r="AO23" s="16" t="s">
        <v>16</v>
      </c>
      <c r="AP23" s="16" t="s">
        <v>16</v>
      </c>
      <c r="AQ23" s="16" t="s">
        <v>16</v>
      </c>
      <c r="AR23" s="16" t="s">
        <v>16</v>
      </c>
      <c r="AS23" s="22">
        <f t="shared" si="2"/>
        <v>0.4</v>
      </c>
      <c r="AT23" s="16" t="s">
        <v>16</v>
      </c>
      <c r="AU23" s="16" t="s">
        <v>16</v>
      </c>
      <c r="AV23" s="16" t="s">
        <v>15</v>
      </c>
      <c r="AW23" s="100" t="s">
        <v>16</v>
      </c>
      <c r="AX23" s="16" t="s">
        <v>16</v>
      </c>
      <c r="AY23" s="16" t="s">
        <v>15</v>
      </c>
      <c r="AZ23" s="16" t="s">
        <v>16</v>
      </c>
      <c r="BA23" s="22">
        <f t="shared" si="3"/>
        <v>0.2857142857</v>
      </c>
      <c r="BB23" s="261" t="s">
        <v>15</v>
      </c>
      <c r="BC23" s="261" t="s">
        <v>15</v>
      </c>
      <c r="BD23" s="261" t="s">
        <v>15</v>
      </c>
      <c r="BE23" s="261" t="s">
        <v>15</v>
      </c>
      <c r="BF23" s="264" t="s">
        <v>16</v>
      </c>
      <c r="BG23" s="152" t="s">
        <v>16</v>
      </c>
      <c r="BH23" s="16" t="s">
        <v>16</v>
      </c>
      <c r="BI23" s="16" t="s">
        <v>15</v>
      </c>
      <c r="BJ23" s="16" t="s">
        <v>16</v>
      </c>
      <c r="BK23" s="16" t="s">
        <v>16</v>
      </c>
      <c r="BL23" s="16" t="s">
        <v>15</v>
      </c>
      <c r="BM23" s="16" t="s">
        <v>15</v>
      </c>
      <c r="BN23" s="261" t="s">
        <v>15</v>
      </c>
      <c r="BO23" s="16" t="s">
        <v>16</v>
      </c>
      <c r="BP23" s="16" t="s">
        <v>15</v>
      </c>
      <c r="BQ23" s="261" t="s">
        <v>15</v>
      </c>
      <c r="BR23" s="261" t="s">
        <v>15</v>
      </c>
      <c r="BS23" s="16" t="s">
        <v>16</v>
      </c>
      <c r="BT23" s="261" t="s">
        <v>15</v>
      </c>
      <c r="BU23" s="16" t="s">
        <v>15</v>
      </c>
      <c r="BV23" s="16" t="s">
        <v>16</v>
      </c>
      <c r="BW23" s="16" t="s">
        <v>16</v>
      </c>
      <c r="BX23" s="22">
        <f t="shared" si="4"/>
        <v>0.5909090909</v>
      </c>
      <c r="BY23" s="107" t="s">
        <v>15</v>
      </c>
    </row>
    <row r="24">
      <c r="A24" s="206">
        <v>20.0</v>
      </c>
      <c r="B24" s="62"/>
      <c r="C24" s="123"/>
      <c r="D24" s="161" t="s">
        <v>15</v>
      </c>
      <c r="E24" s="161" t="s">
        <v>15</v>
      </c>
      <c r="F24" s="161" t="s">
        <v>15</v>
      </c>
      <c r="G24" s="59" t="s">
        <v>16</v>
      </c>
      <c r="H24" s="70" t="s">
        <v>16</v>
      </c>
      <c r="I24" s="16" t="s">
        <v>15</v>
      </c>
      <c r="J24" s="16" t="s">
        <v>15</v>
      </c>
      <c r="K24" s="59" t="s">
        <v>15</v>
      </c>
      <c r="L24" s="207" t="s">
        <v>16</v>
      </c>
      <c r="M24" s="207" t="s">
        <v>16</v>
      </c>
      <c r="N24" s="16" t="s">
        <v>15</v>
      </c>
      <c r="O24" s="59" t="s">
        <v>15</v>
      </c>
      <c r="P24" s="207" t="s">
        <v>16</v>
      </c>
      <c r="Q24" s="61" t="s">
        <v>15</v>
      </c>
      <c r="R24" s="278" t="s">
        <v>16</v>
      </c>
      <c r="S24" s="16" t="s">
        <v>16</v>
      </c>
      <c r="T24" s="16" t="s">
        <v>15</v>
      </c>
      <c r="U24" s="16" t="s">
        <v>16</v>
      </c>
      <c r="V24" s="16" t="s">
        <v>15</v>
      </c>
      <c r="W24" s="16" t="s">
        <v>16</v>
      </c>
      <c r="X24" s="22">
        <f t="shared" si="1"/>
        <v>0.55</v>
      </c>
      <c r="Y24" s="16" t="s">
        <v>16</v>
      </c>
      <c r="Z24" s="16" t="s">
        <v>15</v>
      </c>
      <c r="AA24" s="16" t="s">
        <v>16</v>
      </c>
      <c r="AB24" s="16" t="s">
        <v>15</v>
      </c>
      <c r="AC24" s="16" t="s">
        <v>15</v>
      </c>
      <c r="AD24" s="16" t="s">
        <v>16</v>
      </c>
      <c r="AE24" s="59" t="s">
        <v>15</v>
      </c>
      <c r="AF24" s="39" t="s">
        <v>15</v>
      </c>
      <c r="AG24" s="16" t="s">
        <v>15</v>
      </c>
      <c r="AH24" s="16" t="s">
        <v>15</v>
      </c>
      <c r="AI24" s="16" t="s">
        <v>15</v>
      </c>
      <c r="AJ24" s="16" t="s">
        <v>15</v>
      </c>
      <c r="AK24" s="16" t="s">
        <v>15</v>
      </c>
      <c r="AL24" s="16" t="s">
        <v>15</v>
      </c>
      <c r="AM24" s="16" t="s">
        <v>15</v>
      </c>
      <c r="AN24" s="16" t="s">
        <v>16</v>
      </c>
      <c r="AO24" s="16" t="s">
        <v>15</v>
      </c>
      <c r="AP24" s="16" t="s">
        <v>16</v>
      </c>
      <c r="AQ24" s="16" t="s">
        <v>15</v>
      </c>
      <c r="AR24" s="100" t="s">
        <v>15</v>
      </c>
      <c r="AS24" s="22">
        <f t="shared" si="2"/>
        <v>0.75</v>
      </c>
      <c r="AT24" s="16" t="s">
        <v>15</v>
      </c>
      <c r="AU24" s="16" t="s">
        <v>16</v>
      </c>
      <c r="AV24" s="16" t="s">
        <v>15</v>
      </c>
      <c r="AW24" s="16" t="s">
        <v>15</v>
      </c>
      <c r="AX24" s="16" t="s">
        <v>15</v>
      </c>
      <c r="AY24" s="16" t="s">
        <v>16</v>
      </c>
      <c r="AZ24" s="16" t="s">
        <v>16</v>
      </c>
      <c r="BA24" s="22">
        <f t="shared" si="3"/>
        <v>0.5714285714</v>
      </c>
      <c r="BB24" s="261" t="s">
        <v>15</v>
      </c>
      <c r="BC24" s="261" t="s">
        <v>15</v>
      </c>
      <c r="BD24" s="261" t="s">
        <v>15</v>
      </c>
      <c r="BE24" s="261" t="s">
        <v>15</v>
      </c>
      <c r="BF24" s="264" t="s">
        <v>16</v>
      </c>
      <c r="BG24" s="152" t="s">
        <v>15</v>
      </c>
      <c r="BH24" s="16" t="s">
        <v>16</v>
      </c>
      <c r="BI24" s="16" t="s">
        <v>15</v>
      </c>
      <c r="BJ24" s="16" t="s">
        <v>16</v>
      </c>
      <c r="BK24" s="16" t="s">
        <v>15</v>
      </c>
      <c r="BL24" s="16" t="s">
        <v>15</v>
      </c>
      <c r="BM24" s="16" t="s">
        <v>16</v>
      </c>
      <c r="BN24" s="261" t="s">
        <v>15</v>
      </c>
      <c r="BO24" s="16" t="s">
        <v>15</v>
      </c>
      <c r="BP24" s="16" t="s">
        <v>16</v>
      </c>
      <c r="BQ24" s="261" t="s">
        <v>15</v>
      </c>
      <c r="BR24" s="261" t="s">
        <v>15</v>
      </c>
      <c r="BS24" s="16" t="s">
        <v>16</v>
      </c>
      <c r="BT24" s="261" t="s">
        <v>15</v>
      </c>
      <c r="BU24" s="16" t="s">
        <v>15</v>
      </c>
      <c r="BV24" s="16" t="s">
        <v>16</v>
      </c>
      <c r="BW24" s="16" t="s">
        <v>15</v>
      </c>
      <c r="BX24" s="22">
        <f t="shared" si="4"/>
        <v>0.6818181818</v>
      </c>
      <c r="BY24" s="107" t="s">
        <v>15</v>
      </c>
    </row>
    <row r="25">
      <c r="A25" s="206">
        <v>21.0</v>
      </c>
      <c r="B25" s="25"/>
      <c r="C25" s="79"/>
      <c r="D25" s="161" t="s">
        <v>15</v>
      </c>
      <c r="E25" s="161" t="s">
        <v>15</v>
      </c>
      <c r="F25" s="161" t="s">
        <v>15</v>
      </c>
      <c r="G25" s="59" t="s">
        <v>15</v>
      </c>
      <c r="H25" s="39" t="s">
        <v>15</v>
      </c>
      <c r="I25" s="16" t="s">
        <v>16</v>
      </c>
      <c r="J25" s="16" t="s">
        <v>15</v>
      </c>
      <c r="K25" s="59" t="s">
        <v>15</v>
      </c>
      <c r="L25" s="39" t="s">
        <v>15</v>
      </c>
      <c r="M25" s="39" t="s">
        <v>15</v>
      </c>
      <c r="N25" s="16" t="s">
        <v>16</v>
      </c>
      <c r="O25" s="59" t="s">
        <v>15</v>
      </c>
      <c r="P25" s="61" t="s">
        <v>15</v>
      </c>
      <c r="Q25" s="61" t="s">
        <v>15</v>
      </c>
      <c r="R25" s="61" t="s">
        <v>15</v>
      </c>
      <c r="S25" s="16" t="s">
        <v>15</v>
      </c>
      <c r="T25" s="16" t="s">
        <v>15</v>
      </c>
      <c r="U25" s="16" t="s">
        <v>15</v>
      </c>
      <c r="V25" s="16" t="s">
        <v>15</v>
      </c>
      <c r="W25" s="16" t="s">
        <v>15</v>
      </c>
      <c r="X25" s="22">
        <f t="shared" si="1"/>
        <v>0.9</v>
      </c>
      <c r="Y25" s="16" t="s">
        <v>15</v>
      </c>
      <c r="Z25" s="16" t="s">
        <v>15</v>
      </c>
      <c r="AA25" s="16" t="s">
        <v>16</v>
      </c>
      <c r="AB25" s="16" t="s">
        <v>16</v>
      </c>
      <c r="AC25" s="16" t="s">
        <v>15</v>
      </c>
      <c r="AD25" s="16" t="s">
        <v>15</v>
      </c>
      <c r="AE25" s="59" t="s">
        <v>15</v>
      </c>
      <c r="AF25" s="39" t="s">
        <v>15</v>
      </c>
      <c r="AG25" s="16" t="s">
        <v>15</v>
      </c>
      <c r="AH25" s="16" t="s">
        <v>15</v>
      </c>
      <c r="AI25" s="16" t="s">
        <v>16</v>
      </c>
      <c r="AJ25" s="16" t="s">
        <v>15</v>
      </c>
      <c r="AK25" s="16" t="s">
        <v>15</v>
      </c>
      <c r="AL25" s="16" t="s">
        <v>15</v>
      </c>
      <c r="AM25" s="16" t="s">
        <v>15</v>
      </c>
      <c r="AN25" s="16" t="s">
        <v>15</v>
      </c>
      <c r="AO25" s="16" t="s">
        <v>15</v>
      </c>
      <c r="AP25" s="16" t="s">
        <v>16</v>
      </c>
      <c r="AQ25" s="16" t="s">
        <v>15</v>
      </c>
      <c r="AR25" s="100" t="s">
        <v>15</v>
      </c>
      <c r="AS25" s="22">
        <f t="shared" si="2"/>
        <v>0.8</v>
      </c>
      <c r="AT25" s="16" t="s">
        <v>15</v>
      </c>
      <c r="AU25" s="16" t="s">
        <v>16</v>
      </c>
      <c r="AV25" s="16" t="s">
        <v>15</v>
      </c>
      <c r="AW25" s="16" t="s">
        <v>15</v>
      </c>
      <c r="AX25" s="16" t="s">
        <v>15</v>
      </c>
      <c r="AY25" s="16" t="s">
        <v>15</v>
      </c>
      <c r="AZ25" s="16" t="s">
        <v>15</v>
      </c>
      <c r="BA25" s="22">
        <f t="shared" si="3"/>
        <v>0.8571428571</v>
      </c>
      <c r="BB25" s="261" t="s">
        <v>15</v>
      </c>
      <c r="BC25" s="261" t="s">
        <v>15</v>
      </c>
      <c r="BD25" s="261" t="s">
        <v>15</v>
      </c>
      <c r="BE25" s="261" t="s">
        <v>15</v>
      </c>
      <c r="BF25" s="264" t="s">
        <v>16</v>
      </c>
      <c r="BG25" s="152" t="s">
        <v>15</v>
      </c>
      <c r="BH25" s="16" t="s">
        <v>15</v>
      </c>
      <c r="BI25" s="16" t="s">
        <v>15</v>
      </c>
      <c r="BJ25" s="16" t="s">
        <v>15</v>
      </c>
      <c r="BK25" s="16" t="s">
        <v>16</v>
      </c>
      <c r="BL25" s="16" t="s">
        <v>16</v>
      </c>
      <c r="BM25" s="16" t="s">
        <v>15</v>
      </c>
      <c r="BN25" s="261" t="s">
        <v>15</v>
      </c>
      <c r="BO25" s="16" t="s">
        <v>15</v>
      </c>
      <c r="BP25" s="16" t="s">
        <v>15</v>
      </c>
      <c r="BQ25" s="261" t="s">
        <v>15</v>
      </c>
      <c r="BR25" s="261" t="s">
        <v>15</v>
      </c>
      <c r="BS25" s="16" t="s">
        <v>15</v>
      </c>
      <c r="BT25" s="261" t="s">
        <v>16</v>
      </c>
      <c r="BU25" s="16" t="s">
        <v>15</v>
      </c>
      <c r="BV25" s="16" t="s">
        <v>15</v>
      </c>
      <c r="BW25" s="16" t="s">
        <v>16</v>
      </c>
      <c r="BX25" s="22">
        <f t="shared" si="4"/>
        <v>0.7727272727</v>
      </c>
      <c r="BY25" s="107" t="s">
        <v>15</v>
      </c>
    </row>
    <row r="26">
      <c r="A26" s="206">
        <v>22.0</v>
      </c>
      <c r="B26" s="121"/>
      <c r="C26" s="56"/>
      <c r="D26" s="251" t="s">
        <v>15</v>
      </c>
      <c r="E26" s="251" t="s">
        <v>16</v>
      </c>
      <c r="F26" s="161" t="s">
        <v>15</v>
      </c>
      <c r="G26" s="59" t="s">
        <v>15</v>
      </c>
      <c r="H26" s="39" t="s">
        <v>15</v>
      </c>
      <c r="I26" s="16" t="s">
        <v>16</v>
      </c>
      <c r="J26" s="16" t="s">
        <v>15</v>
      </c>
      <c r="K26" s="59" t="s">
        <v>15</v>
      </c>
      <c r="L26" s="39" t="s">
        <v>15</v>
      </c>
      <c r="M26" s="207" t="s">
        <v>16</v>
      </c>
      <c r="N26" s="16" t="s">
        <v>15</v>
      </c>
      <c r="O26" s="59" t="s">
        <v>16</v>
      </c>
      <c r="P26" s="61" t="s">
        <v>15</v>
      </c>
      <c r="Q26" s="61" t="s">
        <v>15</v>
      </c>
      <c r="R26" s="278" t="s">
        <v>16</v>
      </c>
      <c r="S26" s="16" t="s">
        <v>16</v>
      </c>
      <c r="T26" s="16" t="s">
        <v>15</v>
      </c>
      <c r="U26" s="16" t="s">
        <v>15</v>
      </c>
      <c r="V26" s="16" t="s">
        <v>15</v>
      </c>
      <c r="W26" s="16" t="s">
        <v>16</v>
      </c>
      <c r="X26" s="22">
        <f t="shared" si="1"/>
        <v>0.65</v>
      </c>
      <c r="Y26" s="16" t="s">
        <v>16</v>
      </c>
      <c r="Z26" s="16" t="s">
        <v>16</v>
      </c>
      <c r="AA26" s="16" t="s">
        <v>16</v>
      </c>
      <c r="AB26" s="16" t="s">
        <v>15</v>
      </c>
      <c r="AC26" s="16" t="s">
        <v>16</v>
      </c>
      <c r="AD26" s="16" t="s">
        <v>15</v>
      </c>
      <c r="AE26" s="59" t="s">
        <v>16</v>
      </c>
      <c r="AF26" s="59" t="s">
        <v>16</v>
      </c>
      <c r="AG26" s="16" t="s">
        <v>15</v>
      </c>
      <c r="AH26" s="16" t="s">
        <v>15</v>
      </c>
      <c r="AI26" s="16" t="s">
        <v>15</v>
      </c>
      <c r="AJ26" s="16" t="s">
        <v>15</v>
      </c>
      <c r="AK26" s="16" t="s">
        <v>15</v>
      </c>
      <c r="AL26" s="16" t="s">
        <v>15</v>
      </c>
      <c r="AM26" s="16" t="s">
        <v>15</v>
      </c>
      <c r="AN26" s="16" t="s">
        <v>16</v>
      </c>
      <c r="AO26" s="16" t="s">
        <v>15</v>
      </c>
      <c r="AP26" s="16" t="s">
        <v>16</v>
      </c>
      <c r="AQ26" s="16" t="s">
        <v>15</v>
      </c>
      <c r="AR26" s="16" t="s">
        <v>16</v>
      </c>
      <c r="AS26" s="22">
        <f t="shared" si="2"/>
        <v>0.55</v>
      </c>
      <c r="AT26" s="16" t="s">
        <v>15</v>
      </c>
      <c r="AU26" s="16" t="s">
        <v>16</v>
      </c>
      <c r="AV26" s="16" t="s">
        <v>15</v>
      </c>
      <c r="AW26" s="16" t="s">
        <v>15</v>
      </c>
      <c r="AX26" s="16" t="s">
        <v>15</v>
      </c>
      <c r="AY26" s="16" t="s">
        <v>16</v>
      </c>
      <c r="AZ26" s="16" t="s">
        <v>15</v>
      </c>
      <c r="BA26" s="22">
        <f t="shared" si="3"/>
        <v>0.7142857143</v>
      </c>
      <c r="BB26" s="261" t="s">
        <v>15</v>
      </c>
      <c r="BC26" s="261" t="s">
        <v>15</v>
      </c>
      <c r="BD26" s="261" t="s">
        <v>15</v>
      </c>
      <c r="BE26" s="261" t="s">
        <v>15</v>
      </c>
      <c r="BF26" s="264" t="s">
        <v>16</v>
      </c>
      <c r="BG26" s="16" t="s">
        <v>15</v>
      </c>
      <c r="BH26" s="16" t="s">
        <v>15</v>
      </c>
      <c r="BI26" s="16" t="s">
        <v>16</v>
      </c>
      <c r="BJ26" s="16" t="s">
        <v>16</v>
      </c>
      <c r="BK26" s="16" t="s">
        <v>16</v>
      </c>
      <c r="BL26" s="16" t="s">
        <v>16</v>
      </c>
      <c r="BM26" s="16" t="s">
        <v>15</v>
      </c>
      <c r="BN26" s="261" t="s">
        <v>15</v>
      </c>
      <c r="BO26" s="16" t="s">
        <v>15</v>
      </c>
      <c r="BP26" s="16" t="s">
        <v>16</v>
      </c>
      <c r="BQ26" s="261" t="s">
        <v>15</v>
      </c>
      <c r="BR26" s="261" t="s">
        <v>15</v>
      </c>
      <c r="BS26" s="16" t="s">
        <v>15</v>
      </c>
      <c r="BT26" s="261" t="s">
        <v>16</v>
      </c>
      <c r="BU26" s="16" t="s">
        <v>15</v>
      </c>
      <c r="BV26" s="16" t="s">
        <v>16</v>
      </c>
      <c r="BW26" s="16" t="s">
        <v>15</v>
      </c>
      <c r="BX26" s="22">
        <f t="shared" si="4"/>
        <v>0.6363636364</v>
      </c>
      <c r="BY26" s="107" t="s">
        <v>15</v>
      </c>
    </row>
    <row r="27">
      <c r="A27" s="206">
        <v>23.0</v>
      </c>
      <c r="B27" s="311"/>
      <c r="C27" s="312" t="s">
        <v>78</v>
      </c>
      <c r="D27" s="312" t="s">
        <v>15</v>
      </c>
      <c r="E27" s="312" t="s">
        <v>16</v>
      </c>
      <c r="F27" s="161" t="s">
        <v>15</v>
      </c>
      <c r="G27" s="59" t="s">
        <v>16</v>
      </c>
      <c r="H27" s="214" t="s">
        <v>20</v>
      </c>
      <c r="I27" s="214" t="s">
        <v>20</v>
      </c>
      <c r="J27" s="214" t="s">
        <v>20</v>
      </c>
      <c r="K27" s="214" t="s">
        <v>20</v>
      </c>
      <c r="L27" s="214" t="s">
        <v>20</v>
      </c>
      <c r="M27" s="214" t="s">
        <v>20</v>
      </c>
      <c r="N27" s="214" t="s">
        <v>20</v>
      </c>
      <c r="O27" s="214" t="s">
        <v>20</v>
      </c>
      <c r="P27" s="214" t="s">
        <v>20</v>
      </c>
      <c r="Q27" s="214" t="s">
        <v>20</v>
      </c>
      <c r="R27" s="214" t="s">
        <v>20</v>
      </c>
      <c r="S27" s="214" t="s">
        <v>20</v>
      </c>
      <c r="T27" s="214" t="s">
        <v>20</v>
      </c>
      <c r="U27" s="214" t="s">
        <v>20</v>
      </c>
      <c r="V27" s="214" t="s">
        <v>20</v>
      </c>
      <c r="W27" s="214" t="s">
        <v>20</v>
      </c>
      <c r="X27" s="22">
        <f t="shared" si="1"/>
        <v>0.5</v>
      </c>
      <c r="Y27" s="313" t="s">
        <v>20</v>
      </c>
      <c r="Z27" s="313" t="s">
        <v>20</v>
      </c>
      <c r="AA27" s="313" t="s">
        <v>20</v>
      </c>
      <c r="AB27" s="313" t="s">
        <v>20</v>
      </c>
      <c r="AC27" s="313" t="s">
        <v>20</v>
      </c>
      <c r="AD27" s="313" t="s">
        <v>20</v>
      </c>
      <c r="AE27" s="218" t="s">
        <v>20</v>
      </c>
      <c r="AF27" s="218" t="s">
        <v>20</v>
      </c>
      <c r="AG27" s="313" t="s">
        <v>20</v>
      </c>
      <c r="AH27" s="313" t="s">
        <v>20</v>
      </c>
      <c r="AI27" s="313" t="s">
        <v>20</v>
      </c>
      <c r="AJ27" s="313" t="s">
        <v>20</v>
      </c>
      <c r="AK27" s="313" t="s">
        <v>20</v>
      </c>
      <c r="AL27" s="313" t="s">
        <v>20</v>
      </c>
      <c r="AM27" s="313" t="s">
        <v>20</v>
      </c>
      <c r="AN27" s="313" t="s">
        <v>20</v>
      </c>
      <c r="AO27" s="313" t="s">
        <v>20</v>
      </c>
      <c r="AP27" s="313" t="s">
        <v>20</v>
      </c>
      <c r="AQ27" s="313" t="s">
        <v>20</v>
      </c>
      <c r="AR27" s="313" t="s">
        <v>20</v>
      </c>
      <c r="AS27" s="284" t="str">
        <f t="shared" si="2"/>
        <v>0,00%</v>
      </c>
      <c r="AT27" s="271" t="s">
        <v>20</v>
      </c>
      <c r="AU27" s="214" t="s">
        <v>20</v>
      </c>
      <c r="AV27" s="214" t="s">
        <v>20</v>
      </c>
      <c r="AW27" s="214" t="s">
        <v>20</v>
      </c>
      <c r="AX27" s="271" t="s">
        <v>20</v>
      </c>
      <c r="AY27" s="214" t="s">
        <v>20</v>
      </c>
      <c r="AZ27" s="214" t="s">
        <v>20</v>
      </c>
      <c r="BA27" s="284" t="str">
        <f t="shared" si="3"/>
        <v>0,00%</v>
      </c>
      <c r="BB27" s="274" t="s">
        <v>20</v>
      </c>
      <c r="BC27" s="214" t="s">
        <v>20</v>
      </c>
      <c r="BD27" s="214" t="s">
        <v>20</v>
      </c>
      <c r="BE27" s="214" t="s">
        <v>20</v>
      </c>
      <c r="BF27" s="214" t="s">
        <v>20</v>
      </c>
      <c r="BG27" s="214" t="s">
        <v>20</v>
      </c>
      <c r="BH27" s="214" t="s">
        <v>20</v>
      </c>
      <c r="BI27" s="214" t="s">
        <v>20</v>
      </c>
      <c r="BJ27" s="214" t="s">
        <v>20</v>
      </c>
      <c r="BK27" s="214" t="s">
        <v>20</v>
      </c>
      <c r="BL27" s="271" t="s">
        <v>20</v>
      </c>
      <c r="BM27" s="214" t="s">
        <v>20</v>
      </c>
      <c r="BN27" s="274" t="s">
        <v>20</v>
      </c>
      <c r="BO27" s="214" t="s">
        <v>20</v>
      </c>
      <c r="BP27" s="214" t="s">
        <v>20</v>
      </c>
      <c r="BQ27" s="274" t="s">
        <v>20</v>
      </c>
      <c r="BR27" s="214" t="s">
        <v>20</v>
      </c>
      <c r="BS27" s="214" t="s">
        <v>20</v>
      </c>
      <c r="BT27" s="274" t="s">
        <v>20</v>
      </c>
      <c r="BU27" s="214" t="s">
        <v>20</v>
      </c>
      <c r="BV27" s="214" t="s">
        <v>20</v>
      </c>
      <c r="BW27" s="214" t="s">
        <v>20</v>
      </c>
      <c r="BX27" s="284" t="str">
        <f t="shared" si="4"/>
        <v>0,00%</v>
      </c>
    </row>
    <row r="28">
      <c r="A28" s="206">
        <v>24.0</v>
      </c>
      <c r="B28" s="55"/>
      <c r="C28" s="56"/>
      <c r="D28" s="251" t="s">
        <v>15</v>
      </c>
      <c r="E28" s="251" t="s">
        <v>16</v>
      </c>
      <c r="F28" s="161" t="s">
        <v>15</v>
      </c>
      <c r="G28" s="59" t="s">
        <v>16</v>
      </c>
      <c r="H28" s="70" t="s">
        <v>16</v>
      </c>
      <c r="I28" s="16" t="s">
        <v>15</v>
      </c>
      <c r="J28" s="16" t="s">
        <v>15</v>
      </c>
      <c r="K28" s="59" t="s">
        <v>15</v>
      </c>
      <c r="L28" s="39" t="s">
        <v>15</v>
      </c>
      <c r="M28" s="207" t="s">
        <v>16</v>
      </c>
      <c r="N28" s="16" t="s">
        <v>16</v>
      </c>
      <c r="O28" s="59" t="s">
        <v>15</v>
      </c>
      <c r="P28" s="61" t="s">
        <v>15</v>
      </c>
      <c r="Q28" s="61" t="s">
        <v>15</v>
      </c>
      <c r="R28" s="61" t="s">
        <v>15</v>
      </c>
      <c r="S28" s="16" t="s">
        <v>15</v>
      </c>
      <c r="T28" s="16" t="s">
        <v>15</v>
      </c>
      <c r="U28" s="16" t="s">
        <v>15</v>
      </c>
      <c r="V28" s="16" t="s">
        <v>15</v>
      </c>
      <c r="W28" s="16" t="s">
        <v>15</v>
      </c>
      <c r="X28" s="22">
        <f t="shared" si="1"/>
        <v>0.75</v>
      </c>
      <c r="Y28" s="16" t="s">
        <v>15</v>
      </c>
      <c r="Z28" s="16" t="s">
        <v>16</v>
      </c>
      <c r="AA28" s="16" t="s">
        <v>16</v>
      </c>
      <c r="AB28" s="16" t="s">
        <v>15</v>
      </c>
      <c r="AC28" s="16" t="s">
        <v>15</v>
      </c>
      <c r="AD28" s="16" t="s">
        <v>15</v>
      </c>
      <c r="AE28" s="59" t="s">
        <v>15</v>
      </c>
      <c r="AF28" s="39" t="s">
        <v>15</v>
      </c>
      <c r="AG28" s="16" t="s">
        <v>15</v>
      </c>
      <c r="AH28" s="16" t="s">
        <v>16</v>
      </c>
      <c r="AI28" s="16" t="s">
        <v>15</v>
      </c>
      <c r="AJ28" s="16" t="s">
        <v>15</v>
      </c>
      <c r="AK28" s="16" t="s">
        <v>16</v>
      </c>
      <c r="AL28" s="16" t="s">
        <v>15</v>
      </c>
      <c r="AM28" s="16" t="s">
        <v>15</v>
      </c>
      <c r="AN28" s="16" t="s">
        <v>16</v>
      </c>
      <c r="AO28" s="16" t="s">
        <v>16</v>
      </c>
      <c r="AP28" s="16" t="s">
        <v>16</v>
      </c>
      <c r="AQ28" s="16" t="s">
        <v>15</v>
      </c>
      <c r="AR28" s="16" t="s">
        <v>16</v>
      </c>
      <c r="AS28" s="22">
        <f t="shared" si="2"/>
        <v>0.6</v>
      </c>
      <c r="AT28" s="16" t="s">
        <v>15</v>
      </c>
      <c r="AU28" s="16" t="s">
        <v>16</v>
      </c>
      <c r="AV28" s="16" t="s">
        <v>15</v>
      </c>
      <c r="AW28" s="16" t="s">
        <v>15</v>
      </c>
      <c r="AX28" s="16" t="s">
        <v>15</v>
      </c>
      <c r="AY28" s="16" t="s">
        <v>15</v>
      </c>
      <c r="AZ28" s="16" t="s">
        <v>15</v>
      </c>
      <c r="BA28" s="22">
        <f t="shared" si="3"/>
        <v>0.8571428571</v>
      </c>
      <c r="BB28" s="261" t="s">
        <v>16</v>
      </c>
      <c r="BC28" s="264" t="s">
        <v>16</v>
      </c>
      <c r="BD28" s="261" t="s">
        <v>15</v>
      </c>
      <c r="BE28" s="261" t="s">
        <v>15</v>
      </c>
      <c r="BF28" s="264" t="s">
        <v>16</v>
      </c>
      <c r="BG28" s="152" t="s">
        <v>15</v>
      </c>
      <c r="BH28" s="16" t="s">
        <v>15</v>
      </c>
      <c r="BI28" s="16" t="s">
        <v>15</v>
      </c>
      <c r="BJ28" s="16" t="s">
        <v>15</v>
      </c>
      <c r="BK28" s="16" t="s">
        <v>16</v>
      </c>
      <c r="BL28" s="16" t="s">
        <v>15</v>
      </c>
      <c r="BM28" s="16" t="s">
        <v>16</v>
      </c>
      <c r="BN28" s="261" t="s">
        <v>15</v>
      </c>
      <c r="BO28" s="16" t="s">
        <v>15</v>
      </c>
      <c r="BP28" s="16" t="s">
        <v>15</v>
      </c>
      <c r="BQ28" s="261" t="s">
        <v>15</v>
      </c>
      <c r="BR28" s="264" t="s">
        <v>16</v>
      </c>
      <c r="BS28" s="16" t="s">
        <v>15</v>
      </c>
      <c r="BT28" s="261" t="s">
        <v>16</v>
      </c>
      <c r="BU28" s="16" t="s">
        <v>15</v>
      </c>
      <c r="BV28" s="16" t="s">
        <v>16</v>
      </c>
      <c r="BW28" s="16" t="s">
        <v>15</v>
      </c>
      <c r="BX28" s="22">
        <f t="shared" si="4"/>
        <v>0.6363636364</v>
      </c>
      <c r="BY28" s="107" t="s">
        <v>16</v>
      </c>
    </row>
    <row r="29">
      <c r="A29" s="206">
        <v>25.0</v>
      </c>
      <c r="B29" s="314"/>
      <c r="C29" s="219" t="s">
        <v>79</v>
      </c>
      <c r="D29" s="214" t="s">
        <v>20</v>
      </c>
      <c r="E29" s="214" t="s">
        <v>20</v>
      </c>
      <c r="F29" s="214" t="s">
        <v>20</v>
      </c>
      <c r="G29" s="32" t="s">
        <v>20</v>
      </c>
      <c r="H29" s="32" t="s">
        <v>20</v>
      </c>
      <c r="I29" s="214" t="s">
        <v>20</v>
      </c>
      <c r="J29" s="214" t="s">
        <v>20</v>
      </c>
      <c r="K29" s="249" t="s">
        <v>20</v>
      </c>
      <c r="L29" s="32" t="s">
        <v>20</v>
      </c>
      <c r="M29" s="214" t="s">
        <v>20</v>
      </c>
      <c r="N29" s="214" t="s">
        <v>20</v>
      </c>
      <c r="O29" s="32" t="s">
        <v>20</v>
      </c>
      <c r="P29" s="315" t="s">
        <v>20</v>
      </c>
      <c r="Q29" s="32" t="s">
        <v>20</v>
      </c>
      <c r="R29" s="214" t="s">
        <v>20</v>
      </c>
      <c r="S29" s="214" t="s">
        <v>20</v>
      </c>
      <c r="T29" s="214" t="s">
        <v>20</v>
      </c>
      <c r="U29" s="214"/>
      <c r="V29" s="214" t="s">
        <v>20</v>
      </c>
      <c r="W29" s="214" t="s">
        <v>20</v>
      </c>
      <c r="X29" s="48" t="str">
        <f t="shared" si="1"/>
        <v>0,00%</v>
      </c>
      <c r="Y29" s="214" t="s">
        <v>20</v>
      </c>
      <c r="Z29" s="214" t="s">
        <v>20</v>
      </c>
      <c r="AA29" s="214" t="s">
        <v>20</v>
      </c>
      <c r="AB29" s="214" t="s">
        <v>20</v>
      </c>
      <c r="AC29" s="214" t="s">
        <v>20</v>
      </c>
      <c r="AD29" s="214" t="s">
        <v>20</v>
      </c>
      <c r="AE29" s="32" t="s">
        <v>20</v>
      </c>
      <c r="AF29" s="32" t="s">
        <v>20</v>
      </c>
      <c r="AG29" s="271" t="s">
        <v>20</v>
      </c>
      <c r="AH29" s="214" t="s">
        <v>20</v>
      </c>
      <c r="AI29" s="271" t="s">
        <v>20</v>
      </c>
      <c r="AJ29" s="214" t="s">
        <v>20</v>
      </c>
      <c r="AK29" s="214" t="s">
        <v>20</v>
      </c>
      <c r="AL29" s="271" t="s">
        <v>20</v>
      </c>
      <c r="AM29" s="214" t="s">
        <v>20</v>
      </c>
      <c r="AN29" s="271" t="s">
        <v>20</v>
      </c>
      <c r="AO29" s="214" t="s">
        <v>20</v>
      </c>
      <c r="AP29" s="214" t="s">
        <v>20</v>
      </c>
      <c r="AQ29" s="214" t="s">
        <v>20</v>
      </c>
      <c r="AR29" s="214" t="s">
        <v>20</v>
      </c>
      <c r="AS29" s="48" t="str">
        <f t="shared" si="2"/>
        <v>0,00%</v>
      </c>
      <c r="AT29" s="271" t="s">
        <v>20</v>
      </c>
      <c r="AU29" s="214" t="s">
        <v>20</v>
      </c>
      <c r="AV29" s="214" t="s">
        <v>20</v>
      </c>
      <c r="AW29" s="214" t="s">
        <v>20</v>
      </c>
      <c r="AX29" s="271" t="s">
        <v>20</v>
      </c>
      <c r="AY29" s="271" t="s">
        <v>20</v>
      </c>
      <c r="AZ29" s="214" t="s">
        <v>20</v>
      </c>
      <c r="BA29" s="284" t="str">
        <f t="shared" si="3"/>
        <v>0,00%</v>
      </c>
      <c r="BB29" s="274" t="s">
        <v>20</v>
      </c>
      <c r="BC29" s="214" t="s">
        <v>20</v>
      </c>
      <c r="BD29" s="214" t="s">
        <v>20</v>
      </c>
      <c r="BE29" s="214" t="s">
        <v>20</v>
      </c>
      <c r="BF29" s="214" t="s">
        <v>20</v>
      </c>
      <c r="BG29" s="214" t="s">
        <v>20</v>
      </c>
      <c r="BH29" s="214" t="s">
        <v>20</v>
      </c>
      <c r="BI29" s="214" t="s">
        <v>20</v>
      </c>
      <c r="BJ29" s="214" t="s">
        <v>20</v>
      </c>
      <c r="BK29" s="214" t="s">
        <v>20</v>
      </c>
      <c r="BL29" s="271" t="s">
        <v>20</v>
      </c>
      <c r="BM29" s="214" t="s">
        <v>20</v>
      </c>
      <c r="BN29" s="274" t="s">
        <v>20</v>
      </c>
      <c r="BO29" s="214" t="s">
        <v>20</v>
      </c>
      <c r="BP29" s="214" t="s">
        <v>20</v>
      </c>
      <c r="BQ29" s="274" t="s">
        <v>20</v>
      </c>
      <c r="BR29" s="214" t="s">
        <v>20</v>
      </c>
      <c r="BS29" s="214" t="s">
        <v>20</v>
      </c>
      <c r="BT29" s="274" t="s">
        <v>20</v>
      </c>
      <c r="BU29" s="214" t="s">
        <v>20</v>
      </c>
      <c r="BV29" s="214" t="s">
        <v>20</v>
      </c>
      <c r="BW29" s="214" t="s">
        <v>20</v>
      </c>
      <c r="BX29" s="48" t="str">
        <f t="shared" si="4"/>
        <v>0,00%</v>
      </c>
    </row>
    <row r="30">
      <c r="A30" s="206">
        <v>26.0</v>
      </c>
      <c r="B30" s="121"/>
      <c r="C30" s="56"/>
      <c r="D30" s="251" t="s">
        <v>15</v>
      </c>
      <c r="E30" s="251" t="s">
        <v>15</v>
      </c>
      <c r="F30" s="161" t="s">
        <v>15</v>
      </c>
      <c r="G30" s="59" t="s">
        <v>15</v>
      </c>
      <c r="H30" s="39" t="s">
        <v>15</v>
      </c>
      <c r="I30" s="16" t="s">
        <v>15</v>
      </c>
      <c r="J30" s="16" t="s">
        <v>15</v>
      </c>
      <c r="K30" s="59" t="s">
        <v>15</v>
      </c>
      <c r="L30" s="39" t="s">
        <v>15</v>
      </c>
      <c r="M30" s="207" t="s">
        <v>16</v>
      </c>
      <c r="N30" s="16" t="s">
        <v>15</v>
      </c>
      <c r="O30" s="59" t="s">
        <v>15</v>
      </c>
      <c r="P30" s="61" t="s">
        <v>15</v>
      </c>
      <c r="Q30" s="61" t="s">
        <v>15</v>
      </c>
      <c r="R30" s="61" t="s">
        <v>15</v>
      </c>
      <c r="S30" s="16" t="s">
        <v>15</v>
      </c>
      <c r="T30" s="16" t="s">
        <v>15</v>
      </c>
      <c r="U30" s="16" t="s">
        <v>15</v>
      </c>
      <c r="V30" s="16" t="s">
        <v>15</v>
      </c>
      <c r="W30" s="16" t="s">
        <v>15</v>
      </c>
      <c r="X30" s="22">
        <f t="shared" si="1"/>
        <v>0.95</v>
      </c>
      <c r="Y30" s="16" t="s">
        <v>15</v>
      </c>
      <c r="Z30" s="16" t="s">
        <v>15</v>
      </c>
      <c r="AA30" s="16" t="s">
        <v>15</v>
      </c>
      <c r="AB30" s="16" t="s">
        <v>15</v>
      </c>
      <c r="AC30" s="16" t="s">
        <v>15</v>
      </c>
      <c r="AD30" s="16" t="s">
        <v>15</v>
      </c>
      <c r="AE30" s="59" t="s">
        <v>15</v>
      </c>
      <c r="AF30" s="39" t="s">
        <v>15</v>
      </c>
      <c r="AG30" s="16" t="s">
        <v>15</v>
      </c>
      <c r="AH30" s="16" t="s">
        <v>15</v>
      </c>
      <c r="AI30" s="16" t="s">
        <v>15</v>
      </c>
      <c r="AJ30" s="16" t="s">
        <v>15</v>
      </c>
      <c r="AK30" s="16" t="s">
        <v>15</v>
      </c>
      <c r="AL30" s="16" t="s">
        <v>15</v>
      </c>
      <c r="AM30" s="16" t="s">
        <v>15</v>
      </c>
      <c r="AN30" s="16" t="s">
        <v>16</v>
      </c>
      <c r="AO30" s="16" t="s">
        <v>15</v>
      </c>
      <c r="AP30" s="16" t="s">
        <v>15</v>
      </c>
      <c r="AQ30" s="16" t="s">
        <v>15</v>
      </c>
      <c r="AR30" s="16" t="s">
        <v>16</v>
      </c>
      <c r="AS30" s="22">
        <f t="shared" si="2"/>
        <v>0.9</v>
      </c>
      <c r="AT30" s="16" t="s">
        <v>16</v>
      </c>
      <c r="AU30" s="16" t="s">
        <v>16</v>
      </c>
      <c r="AV30" s="16" t="s">
        <v>15</v>
      </c>
      <c r="AW30" s="16" t="s">
        <v>15</v>
      </c>
      <c r="AX30" s="16" t="s">
        <v>15</v>
      </c>
      <c r="AY30" s="16" t="s">
        <v>15</v>
      </c>
      <c r="AZ30" s="16" t="s">
        <v>15</v>
      </c>
      <c r="BA30" s="22">
        <f t="shared" si="3"/>
        <v>0.7142857143</v>
      </c>
      <c r="BB30" s="261" t="s">
        <v>15</v>
      </c>
      <c r="BC30" s="261" t="s">
        <v>15</v>
      </c>
      <c r="BD30" s="261" t="s">
        <v>15</v>
      </c>
      <c r="BE30" s="261" t="s">
        <v>15</v>
      </c>
      <c r="BF30" s="264" t="s">
        <v>16</v>
      </c>
      <c r="BG30" s="152" t="s">
        <v>15</v>
      </c>
      <c r="BH30" s="16" t="s">
        <v>15</v>
      </c>
      <c r="BI30" s="16" t="s">
        <v>15</v>
      </c>
      <c r="BJ30" s="16" t="s">
        <v>15</v>
      </c>
      <c r="BK30" s="16" t="s">
        <v>16</v>
      </c>
      <c r="BL30" s="16" t="s">
        <v>15</v>
      </c>
      <c r="BM30" s="16" t="s">
        <v>15</v>
      </c>
      <c r="BN30" s="261" t="s">
        <v>15</v>
      </c>
      <c r="BO30" s="16" t="s">
        <v>15</v>
      </c>
      <c r="BP30" s="16" t="s">
        <v>15</v>
      </c>
      <c r="BQ30" s="261" t="s">
        <v>15</v>
      </c>
      <c r="BR30" s="261" t="s">
        <v>15</v>
      </c>
      <c r="BS30" s="16" t="s">
        <v>15</v>
      </c>
      <c r="BT30" s="261" t="s">
        <v>15</v>
      </c>
      <c r="BU30" s="16" t="s">
        <v>15</v>
      </c>
      <c r="BV30" s="16" t="s">
        <v>16</v>
      </c>
      <c r="BW30" s="16" t="s">
        <v>15</v>
      </c>
      <c r="BX30" s="22">
        <f t="shared" si="4"/>
        <v>0.8636363636</v>
      </c>
      <c r="BY30" s="107" t="s">
        <v>16</v>
      </c>
    </row>
    <row r="31">
      <c r="A31" s="206">
        <v>27.0</v>
      </c>
      <c r="B31" s="226"/>
      <c r="C31" s="316"/>
      <c r="D31" s="312" t="s">
        <v>15</v>
      </c>
      <c r="E31" s="312" t="s">
        <v>15</v>
      </c>
      <c r="F31" s="161" t="s">
        <v>15</v>
      </c>
      <c r="G31" s="59" t="s">
        <v>15</v>
      </c>
      <c r="H31" s="70" t="s">
        <v>16</v>
      </c>
      <c r="I31" s="16" t="s">
        <v>15</v>
      </c>
      <c r="J31" s="16" t="s">
        <v>15</v>
      </c>
      <c r="K31" s="59" t="s">
        <v>15</v>
      </c>
      <c r="L31" s="39" t="s">
        <v>15</v>
      </c>
      <c r="M31" s="207" t="s">
        <v>16</v>
      </c>
      <c r="N31" s="16" t="s">
        <v>15</v>
      </c>
      <c r="O31" s="59" t="s">
        <v>15</v>
      </c>
      <c r="P31" s="293" t="s">
        <v>16</v>
      </c>
      <c r="Q31" s="61" t="s">
        <v>15</v>
      </c>
      <c r="R31" s="61" t="s">
        <v>15</v>
      </c>
      <c r="S31" s="16" t="s">
        <v>15</v>
      </c>
      <c r="T31" s="16" t="s">
        <v>16</v>
      </c>
      <c r="U31" s="16" t="s">
        <v>15</v>
      </c>
      <c r="V31" s="16" t="s">
        <v>15</v>
      </c>
      <c r="W31" s="16" t="s">
        <v>15</v>
      </c>
      <c r="X31" s="22">
        <f t="shared" si="1"/>
        <v>0.8</v>
      </c>
      <c r="Y31" s="16" t="s">
        <v>15</v>
      </c>
      <c r="Z31" s="16" t="s">
        <v>15</v>
      </c>
      <c r="AA31" s="16" t="s">
        <v>16</v>
      </c>
      <c r="AB31" s="16" t="s">
        <v>16</v>
      </c>
      <c r="AC31" s="16" t="s">
        <v>15</v>
      </c>
      <c r="AD31" s="16" t="s">
        <v>15</v>
      </c>
      <c r="AE31" s="59" t="s">
        <v>16</v>
      </c>
      <c r="AF31" s="39" t="s">
        <v>15</v>
      </c>
      <c r="AG31" s="16" t="s">
        <v>16</v>
      </c>
      <c r="AH31" s="16" t="s">
        <v>15</v>
      </c>
      <c r="AI31" s="16" t="s">
        <v>15</v>
      </c>
      <c r="AJ31" s="16" t="s">
        <v>15</v>
      </c>
      <c r="AK31" s="16" t="s">
        <v>16</v>
      </c>
      <c r="AL31" s="16" t="s">
        <v>16</v>
      </c>
      <c r="AM31" s="16" t="s">
        <v>15</v>
      </c>
      <c r="AN31" s="16" t="s">
        <v>16</v>
      </c>
      <c r="AO31" s="16" t="s">
        <v>15</v>
      </c>
      <c r="AP31" s="16" t="s">
        <v>15</v>
      </c>
      <c r="AQ31" s="16" t="s">
        <v>15</v>
      </c>
      <c r="AR31" s="16" t="s">
        <v>16</v>
      </c>
      <c r="AS31" s="22">
        <f t="shared" si="2"/>
        <v>0.6</v>
      </c>
      <c r="AT31" s="16" t="s">
        <v>16</v>
      </c>
      <c r="AU31" s="16" t="s">
        <v>16</v>
      </c>
      <c r="AV31" s="16" t="s">
        <v>15</v>
      </c>
      <c r="AW31" s="100" t="s">
        <v>16</v>
      </c>
      <c r="AX31" s="16" t="s">
        <v>15</v>
      </c>
      <c r="AY31" s="16" t="s">
        <v>15</v>
      </c>
      <c r="AZ31" s="16" t="s">
        <v>15</v>
      </c>
      <c r="BA31" s="22">
        <f t="shared" si="3"/>
        <v>0.5714285714</v>
      </c>
      <c r="BB31" s="261" t="s">
        <v>15</v>
      </c>
      <c r="BC31" s="261" t="s">
        <v>15</v>
      </c>
      <c r="BD31" s="261" t="s">
        <v>15</v>
      </c>
      <c r="BE31" s="264" t="s">
        <v>16</v>
      </c>
      <c r="BF31" s="264" t="s">
        <v>16</v>
      </c>
      <c r="BG31" s="152" t="s">
        <v>15</v>
      </c>
      <c r="BH31" s="16" t="s">
        <v>16</v>
      </c>
      <c r="BI31" s="16" t="s">
        <v>15</v>
      </c>
      <c r="BJ31" s="16" t="s">
        <v>15</v>
      </c>
      <c r="BK31" s="16" t="s">
        <v>16</v>
      </c>
      <c r="BL31" s="16" t="s">
        <v>16</v>
      </c>
      <c r="BM31" s="16" t="s">
        <v>15</v>
      </c>
      <c r="BN31" s="261" t="s">
        <v>15</v>
      </c>
      <c r="BO31" s="16" t="s">
        <v>16</v>
      </c>
      <c r="BP31" s="16" t="s">
        <v>15</v>
      </c>
      <c r="BQ31" s="261" t="s">
        <v>15</v>
      </c>
      <c r="BR31" s="261" t="s">
        <v>15</v>
      </c>
      <c r="BS31" s="16" t="s">
        <v>15</v>
      </c>
      <c r="BT31" s="261" t="s">
        <v>16</v>
      </c>
      <c r="BU31" s="16" t="s">
        <v>15</v>
      </c>
      <c r="BV31" s="16" t="s">
        <v>15</v>
      </c>
      <c r="BW31" s="16" t="s">
        <v>16</v>
      </c>
      <c r="BX31" s="22">
        <f t="shared" si="4"/>
        <v>0.6363636364</v>
      </c>
      <c r="BY31" s="107" t="s">
        <v>15</v>
      </c>
    </row>
    <row r="32">
      <c r="A32" s="294">
        <v>28.0</v>
      </c>
      <c r="B32" s="250"/>
      <c r="C32" s="56"/>
      <c r="D32" s="251" t="s">
        <v>15</v>
      </c>
      <c r="E32" s="251" t="s">
        <v>15</v>
      </c>
      <c r="F32" s="161" t="s">
        <v>15</v>
      </c>
      <c r="G32" s="59" t="s">
        <v>15</v>
      </c>
      <c r="H32" s="39" t="s">
        <v>15</v>
      </c>
      <c r="I32" s="16" t="s">
        <v>15</v>
      </c>
      <c r="J32" s="16" t="s">
        <v>15</v>
      </c>
      <c r="K32" s="59" t="s">
        <v>15</v>
      </c>
      <c r="L32" s="61" t="s">
        <v>15</v>
      </c>
      <c r="M32" s="207" t="s">
        <v>16</v>
      </c>
      <c r="N32" s="16" t="s">
        <v>15</v>
      </c>
      <c r="O32" s="59" t="s">
        <v>15</v>
      </c>
      <c r="P32" s="124" t="s">
        <v>15</v>
      </c>
      <c r="Q32" s="61" t="s">
        <v>15</v>
      </c>
      <c r="R32" s="61" t="s">
        <v>15</v>
      </c>
      <c r="S32" s="16" t="s">
        <v>15</v>
      </c>
      <c r="T32" s="16" t="s">
        <v>15</v>
      </c>
      <c r="U32" s="16" t="s">
        <v>15</v>
      </c>
      <c r="V32" s="16" t="s">
        <v>15</v>
      </c>
      <c r="W32" s="16" t="s">
        <v>15</v>
      </c>
      <c r="X32" s="22">
        <f t="shared" si="1"/>
        <v>0.95</v>
      </c>
      <c r="Y32" s="16" t="s">
        <v>15</v>
      </c>
      <c r="Z32" s="16" t="s">
        <v>15</v>
      </c>
      <c r="AA32" s="16" t="s">
        <v>15</v>
      </c>
      <c r="AB32" s="16" t="s">
        <v>15</v>
      </c>
      <c r="AC32" s="16" t="s">
        <v>15</v>
      </c>
      <c r="AD32" s="16" t="s">
        <v>15</v>
      </c>
      <c r="AE32" s="59" t="s">
        <v>15</v>
      </c>
      <c r="AF32" s="39" t="s">
        <v>15</v>
      </c>
      <c r="AG32" s="16" t="s">
        <v>15</v>
      </c>
      <c r="AH32" s="16" t="s">
        <v>15</v>
      </c>
      <c r="AI32" s="16" t="s">
        <v>15</v>
      </c>
      <c r="AJ32" s="16" t="s">
        <v>15</v>
      </c>
      <c r="AK32" s="16" t="s">
        <v>15</v>
      </c>
      <c r="AL32" s="16" t="s">
        <v>15</v>
      </c>
      <c r="AM32" s="16" t="s">
        <v>15</v>
      </c>
      <c r="AN32" s="16" t="s">
        <v>15</v>
      </c>
      <c r="AO32" s="16" t="s">
        <v>15</v>
      </c>
      <c r="AP32" s="16" t="s">
        <v>15</v>
      </c>
      <c r="AQ32" s="16" t="s">
        <v>15</v>
      </c>
      <c r="AR32" s="100" t="s">
        <v>15</v>
      </c>
      <c r="AS32" s="22">
        <f t="shared" si="2"/>
        <v>1</v>
      </c>
      <c r="AT32" s="16" t="s">
        <v>16</v>
      </c>
      <c r="AU32" s="16" t="s">
        <v>16</v>
      </c>
      <c r="AV32" s="16" t="s">
        <v>15</v>
      </c>
      <c r="AW32" s="16" t="s">
        <v>15</v>
      </c>
      <c r="AX32" s="16" t="s">
        <v>15</v>
      </c>
      <c r="AY32" s="16" t="s">
        <v>15</v>
      </c>
      <c r="AZ32" s="16" t="s">
        <v>15</v>
      </c>
      <c r="BA32" s="22">
        <f t="shared" si="3"/>
        <v>0.7142857143</v>
      </c>
      <c r="BB32" s="261" t="s">
        <v>15</v>
      </c>
      <c r="BC32" s="261" t="s">
        <v>15</v>
      </c>
      <c r="BD32" s="261" t="s">
        <v>15</v>
      </c>
      <c r="BE32" s="261" t="s">
        <v>15</v>
      </c>
      <c r="BF32" s="264" t="s">
        <v>16</v>
      </c>
      <c r="BG32" s="152" t="s">
        <v>15</v>
      </c>
      <c r="BH32" s="16" t="s">
        <v>15</v>
      </c>
      <c r="BI32" s="16" t="s">
        <v>15</v>
      </c>
      <c r="BJ32" s="16" t="s">
        <v>15</v>
      </c>
      <c r="BK32" s="16" t="s">
        <v>15</v>
      </c>
      <c r="BL32" s="16" t="s">
        <v>15</v>
      </c>
      <c r="BM32" s="16" t="s">
        <v>15</v>
      </c>
      <c r="BN32" s="261" t="s">
        <v>15</v>
      </c>
      <c r="BO32" s="16" t="s">
        <v>15</v>
      </c>
      <c r="BP32" s="16" t="s">
        <v>15</v>
      </c>
      <c r="BQ32" s="261" t="s">
        <v>15</v>
      </c>
      <c r="BR32" s="261" t="s">
        <v>15</v>
      </c>
      <c r="BS32" s="16" t="s">
        <v>15</v>
      </c>
      <c r="BT32" s="261" t="s">
        <v>15</v>
      </c>
      <c r="BU32" s="16" t="s">
        <v>15</v>
      </c>
      <c r="BV32" s="16" t="s">
        <v>15</v>
      </c>
      <c r="BW32" s="16" t="s">
        <v>15</v>
      </c>
      <c r="BX32" s="22">
        <f t="shared" si="4"/>
        <v>0.9545454545</v>
      </c>
      <c r="BY32" s="107" t="s">
        <v>15</v>
      </c>
    </row>
    <row r="33">
      <c r="A33" s="321">
        <v>29.0</v>
      </c>
      <c r="B33" s="322"/>
      <c r="C33" s="323" t="s">
        <v>19</v>
      </c>
      <c r="D33" s="214" t="s">
        <v>20</v>
      </c>
      <c r="E33" s="214" t="s">
        <v>20</v>
      </c>
      <c r="F33" s="214" t="s">
        <v>20</v>
      </c>
      <c r="G33" s="32" t="s">
        <v>20</v>
      </c>
      <c r="H33" s="33" t="s">
        <v>18</v>
      </c>
      <c r="I33" s="214" t="s">
        <v>20</v>
      </c>
      <c r="J33" s="214" t="s">
        <v>20</v>
      </c>
      <c r="K33" s="249" t="s">
        <v>20</v>
      </c>
      <c r="L33" s="32" t="s">
        <v>20</v>
      </c>
      <c r="M33" s="214" t="s">
        <v>20</v>
      </c>
      <c r="N33" s="214" t="s">
        <v>20</v>
      </c>
      <c r="O33" s="32" t="s">
        <v>20</v>
      </c>
      <c r="P33" s="315" t="s">
        <v>20</v>
      </c>
      <c r="Q33" s="32" t="s">
        <v>20</v>
      </c>
      <c r="R33" s="214" t="s">
        <v>20</v>
      </c>
      <c r="S33" s="214" t="s">
        <v>20</v>
      </c>
      <c r="T33" s="214" t="s">
        <v>20</v>
      </c>
      <c r="U33" s="214"/>
      <c r="V33" s="214" t="s">
        <v>20</v>
      </c>
      <c r="W33" s="214" t="s">
        <v>20</v>
      </c>
      <c r="X33" s="48" t="str">
        <f t="shared" si="1"/>
        <v>0,00%</v>
      </c>
      <c r="Y33" s="214" t="s">
        <v>20</v>
      </c>
      <c r="Z33" s="214" t="s">
        <v>20</v>
      </c>
      <c r="AA33" s="214" t="s">
        <v>20</v>
      </c>
      <c r="AB33" s="214" t="s">
        <v>20</v>
      </c>
      <c r="AC33" s="214" t="s">
        <v>20</v>
      </c>
      <c r="AD33" s="214" t="s">
        <v>20</v>
      </c>
      <c r="AE33" s="32" t="s">
        <v>20</v>
      </c>
      <c r="AF33" s="32" t="s">
        <v>20</v>
      </c>
      <c r="AG33" s="271" t="s">
        <v>20</v>
      </c>
      <c r="AH33" s="214" t="s">
        <v>20</v>
      </c>
      <c r="AI33" s="271" t="s">
        <v>20</v>
      </c>
      <c r="AJ33" s="214" t="s">
        <v>20</v>
      </c>
      <c r="AK33" s="214" t="s">
        <v>20</v>
      </c>
      <c r="AL33" s="271" t="s">
        <v>20</v>
      </c>
      <c r="AM33" s="214" t="s">
        <v>20</v>
      </c>
      <c r="AN33" s="214" t="s">
        <v>20</v>
      </c>
      <c r="AO33" s="214" t="s">
        <v>20</v>
      </c>
      <c r="AP33" s="214" t="s">
        <v>20</v>
      </c>
      <c r="AQ33" s="214" t="s">
        <v>20</v>
      </c>
      <c r="AR33" s="214" t="s">
        <v>20</v>
      </c>
      <c r="AS33" s="48" t="str">
        <f t="shared" si="2"/>
        <v>0,00%</v>
      </c>
      <c r="AT33" s="271" t="s">
        <v>20</v>
      </c>
      <c r="AU33" s="214" t="s">
        <v>20</v>
      </c>
      <c r="AV33" s="214" t="s">
        <v>20</v>
      </c>
      <c r="AW33" s="214" t="s">
        <v>20</v>
      </c>
      <c r="AX33" s="271" t="s">
        <v>20</v>
      </c>
      <c r="AY33" s="214" t="s">
        <v>20</v>
      </c>
      <c r="AZ33" s="214" t="s">
        <v>20</v>
      </c>
      <c r="BA33" s="284" t="str">
        <f t="shared" si="3"/>
        <v>0,00%</v>
      </c>
      <c r="BB33" s="274" t="s">
        <v>20</v>
      </c>
      <c r="BC33" s="214" t="s">
        <v>20</v>
      </c>
      <c r="BD33" s="214" t="s">
        <v>20</v>
      </c>
      <c r="BE33" s="214" t="s">
        <v>20</v>
      </c>
      <c r="BF33" s="214" t="s">
        <v>20</v>
      </c>
      <c r="BG33" s="214" t="s">
        <v>20</v>
      </c>
      <c r="BH33" s="214" t="s">
        <v>20</v>
      </c>
      <c r="BI33" s="214" t="s">
        <v>20</v>
      </c>
      <c r="BJ33" s="214" t="s">
        <v>20</v>
      </c>
      <c r="BK33" s="214" t="s">
        <v>20</v>
      </c>
      <c r="BL33" s="271" t="s">
        <v>20</v>
      </c>
      <c r="BM33" s="214" t="s">
        <v>20</v>
      </c>
      <c r="BN33" s="274" t="s">
        <v>20</v>
      </c>
      <c r="BO33" s="214" t="s">
        <v>20</v>
      </c>
      <c r="BP33" s="214" t="s">
        <v>20</v>
      </c>
      <c r="BQ33" s="274" t="s">
        <v>20</v>
      </c>
      <c r="BR33" s="214" t="s">
        <v>20</v>
      </c>
      <c r="BS33" s="214" t="s">
        <v>20</v>
      </c>
      <c r="BT33" s="274" t="s">
        <v>20</v>
      </c>
      <c r="BU33" s="214" t="s">
        <v>20</v>
      </c>
      <c r="BV33" s="214" t="s">
        <v>20</v>
      </c>
      <c r="BW33" s="214" t="s">
        <v>20</v>
      </c>
      <c r="BX33" s="48" t="str">
        <f t="shared" si="4"/>
        <v>0,00%</v>
      </c>
    </row>
    <row r="34">
      <c r="A34" s="321">
        <v>30.0</v>
      </c>
      <c r="B34" s="55"/>
      <c r="C34" s="56"/>
      <c r="D34" s="251" t="s">
        <v>15</v>
      </c>
      <c r="E34" s="251" t="s">
        <v>15</v>
      </c>
      <c r="F34" s="16" t="s">
        <v>15</v>
      </c>
      <c r="G34" s="59" t="s">
        <v>16</v>
      </c>
      <c r="H34" s="70" t="s">
        <v>16</v>
      </c>
      <c r="I34" s="16" t="s">
        <v>16</v>
      </c>
      <c r="J34" s="16" t="s">
        <v>15</v>
      </c>
      <c r="K34" s="59" t="s">
        <v>16</v>
      </c>
      <c r="L34" s="207" t="s">
        <v>16</v>
      </c>
      <c r="M34" s="39" t="s">
        <v>15</v>
      </c>
      <c r="N34" s="16" t="s">
        <v>15</v>
      </c>
      <c r="O34" s="59" t="s">
        <v>15</v>
      </c>
      <c r="P34" s="124" t="s">
        <v>15</v>
      </c>
      <c r="Q34" s="293" t="s">
        <v>16</v>
      </c>
      <c r="R34" s="278" t="s">
        <v>16</v>
      </c>
      <c r="S34" s="16" t="s">
        <v>16</v>
      </c>
      <c r="T34" s="16" t="s">
        <v>16</v>
      </c>
      <c r="U34" s="16" t="s">
        <v>15</v>
      </c>
      <c r="V34" s="16" t="s">
        <v>16</v>
      </c>
      <c r="W34" s="16" t="s">
        <v>16</v>
      </c>
      <c r="X34" s="22">
        <f t="shared" si="1"/>
        <v>0.45</v>
      </c>
      <c r="Y34" s="16" t="s">
        <v>16</v>
      </c>
      <c r="Z34" s="16" t="s">
        <v>16</v>
      </c>
      <c r="AA34" s="16" t="s">
        <v>15</v>
      </c>
      <c r="AB34" s="16" t="s">
        <v>16</v>
      </c>
      <c r="AC34" s="16" t="s">
        <v>15</v>
      </c>
      <c r="AD34" s="16" t="s">
        <v>15</v>
      </c>
      <c r="AE34" s="59" t="s">
        <v>16</v>
      </c>
      <c r="AF34" s="39" t="s">
        <v>15</v>
      </c>
      <c r="AG34" s="16" t="s">
        <v>16</v>
      </c>
      <c r="AH34" s="16" t="s">
        <v>16</v>
      </c>
      <c r="AI34" s="16" t="s">
        <v>15</v>
      </c>
      <c r="AJ34" s="16" t="s">
        <v>15</v>
      </c>
      <c r="AK34" s="16" t="s">
        <v>16</v>
      </c>
      <c r="AL34" s="16" t="s">
        <v>16</v>
      </c>
      <c r="AM34" s="16" t="s">
        <v>15</v>
      </c>
      <c r="AN34" s="16" t="s">
        <v>16</v>
      </c>
      <c r="AO34" s="16" t="s">
        <v>15</v>
      </c>
      <c r="AP34" s="16" t="s">
        <v>15</v>
      </c>
      <c r="AQ34" s="16" t="s">
        <v>16</v>
      </c>
      <c r="AR34" s="16" t="s">
        <v>16</v>
      </c>
      <c r="AS34" s="22">
        <f t="shared" si="2"/>
        <v>0.45</v>
      </c>
      <c r="AT34" s="16" t="s">
        <v>15</v>
      </c>
      <c r="AU34" s="16" t="s">
        <v>16</v>
      </c>
      <c r="AV34" s="16" t="s">
        <v>15</v>
      </c>
      <c r="AW34" s="100" t="s">
        <v>16</v>
      </c>
      <c r="AX34" s="16" t="s">
        <v>15</v>
      </c>
      <c r="AY34" s="16" t="s">
        <v>16</v>
      </c>
      <c r="AZ34" s="16" t="s">
        <v>16</v>
      </c>
      <c r="BA34" s="22">
        <f t="shared" si="3"/>
        <v>0.4285714286</v>
      </c>
      <c r="BB34" s="261" t="s">
        <v>16</v>
      </c>
      <c r="BC34" s="261" t="s">
        <v>15</v>
      </c>
      <c r="BD34" s="261" t="s">
        <v>15</v>
      </c>
      <c r="BE34" s="264" t="s">
        <v>16</v>
      </c>
      <c r="BF34" s="264" t="s">
        <v>16</v>
      </c>
      <c r="BG34" s="152" t="s">
        <v>16</v>
      </c>
      <c r="BH34" s="16" t="s">
        <v>15</v>
      </c>
      <c r="BI34" s="16" t="s">
        <v>15</v>
      </c>
      <c r="BJ34" s="16" t="s">
        <v>15</v>
      </c>
      <c r="BK34" s="16" t="s">
        <v>16</v>
      </c>
      <c r="BL34" s="16" t="s">
        <v>15</v>
      </c>
      <c r="BM34" s="16" t="s">
        <v>16</v>
      </c>
      <c r="BN34" s="261" t="s">
        <v>15</v>
      </c>
      <c r="BO34" s="16" t="s">
        <v>15</v>
      </c>
      <c r="BP34" s="16" t="s">
        <v>16</v>
      </c>
      <c r="BQ34" s="261" t="s">
        <v>15</v>
      </c>
      <c r="BR34" s="264" t="s">
        <v>16</v>
      </c>
      <c r="BS34" s="16" t="s">
        <v>16</v>
      </c>
      <c r="BT34" s="261" t="s">
        <v>15</v>
      </c>
      <c r="BU34" s="16" t="s">
        <v>15</v>
      </c>
      <c r="BV34" s="16" t="s">
        <v>16</v>
      </c>
      <c r="BW34" s="16" t="s">
        <v>16</v>
      </c>
      <c r="BX34" s="22">
        <f t="shared" si="4"/>
        <v>0.5</v>
      </c>
      <c r="BY34" s="107" t="s">
        <v>15</v>
      </c>
    </row>
    <row r="35">
      <c r="A35" s="100">
        <v>31.0</v>
      </c>
      <c r="B35" s="328"/>
      <c r="C35" s="329">
        <v>46164.0</v>
      </c>
      <c r="D35" s="214" t="s">
        <v>20</v>
      </c>
      <c r="E35" s="214" t="s">
        <v>20</v>
      </c>
      <c r="F35" s="214" t="s">
        <v>20</v>
      </c>
      <c r="G35" s="214" t="s">
        <v>20</v>
      </c>
      <c r="H35" s="214" t="s">
        <v>20</v>
      </c>
      <c r="I35" s="214" t="s">
        <v>20</v>
      </c>
      <c r="J35" s="214" t="s">
        <v>20</v>
      </c>
      <c r="K35" s="214" t="s">
        <v>20</v>
      </c>
      <c r="L35" s="214" t="s">
        <v>20</v>
      </c>
      <c r="M35" s="214" t="s">
        <v>20</v>
      </c>
      <c r="N35" s="214" t="s">
        <v>20</v>
      </c>
      <c r="O35" s="214" t="s">
        <v>20</v>
      </c>
      <c r="P35" s="214" t="s">
        <v>20</v>
      </c>
      <c r="Q35" s="214" t="s">
        <v>20</v>
      </c>
      <c r="R35" s="214" t="s">
        <v>20</v>
      </c>
      <c r="S35" s="16" t="s">
        <v>15</v>
      </c>
      <c r="T35" s="16" t="s">
        <v>15</v>
      </c>
      <c r="U35" s="16" t="s">
        <v>15</v>
      </c>
      <c r="V35" s="16" t="s">
        <v>15</v>
      </c>
      <c r="W35" s="16" t="s">
        <v>15</v>
      </c>
      <c r="X35" s="22">
        <f t="shared" si="1"/>
        <v>1</v>
      </c>
      <c r="Y35" s="16" t="s">
        <v>16</v>
      </c>
      <c r="Z35" s="16" t="s">
        <v>15</v>
      </c>
      <c r="AA35" s="16" t="s">
        <v>15</v>
      </c>
      <c r="AB35" s="16" t="s">
        <v>15</v>
      </c>
      <c r="AC35" s="16" t="s">
        <v>15</v>
      </c>
      <c r="AD35" s="16" t="s">
        <v>15</v>
      </c>
      <c r="AE35" s="59" t="s">
        <v>16</v>
      </c>
      <c r="AF35" s="39" t="s">
        <v>15</v>
      </c>
      <c r="AG35" s="16" t="s">
        <v>15</v>
      </c>
      <c r="AH35" s="16" t="s">
        <v>15</v>
      </c>
      <c r="AI35" s="16" t="s">
        <v>16</v>
      </c>
      <c r="AJ35" s="16" t="s">
        <v>15</v>
      </c>
      <c r="AK35" s="16" t="s">
        <v>15</v>
      </c>
      <c r="AL35" s="16" t="s">
        <v>16</v>
      </c>
      <c r="AM35" s="16" t="s">
        <v>15</v>
      </c>
      <c r="AN35" s="16" t="s">
        <v>16</v>
      </c>
      <c r="AO35" s="16" t="s">
        <v>15</v>
      </c>
      <c r="AP35" s="16" t="s">
        <v>15</v>
      </c>
      <c r="AQ35" s="16" t="s">
        <v>16</v>
      </c>
      <c r="AR35" s="16" t="s">
        <v>16</v>
      </c>
      <c r="AS35" s="22">
        <f t="shared" si="2"/>
        <v>0.65</v>
      </c>
      <c r="AT35" s="16" t="s">
        <v>16</v>
      </c>
      <c r="AU35" s="16" t="s">
        <v>15</v>
      </c>
      <c r="AV35" s="16" t="s">
        <v>15</v>
      </c>
      <c r="AW35" s="16" t="s">
        <v>15</v>
      </c>
      <c r="AX35" s="16" t="s">
        <v>15</v>
      </c>
      <c r="AY35" s="16" t="s">
        <v>16</v>
      </c>
      <c r="AZ35" s="16" t="s">
        <v>15</v>
      </c>
      <c r="BA35" s="22">
        <f t="shared" si="3"/>
        <v>0.7142857143</v>
      </c>
      <c r="BB35" s="261" t="s">
        <v>15</v>
      </c>
      <c r="BC35" s="261" t="s">
        <v>15</v>
      </c>
      <c r="BD35" s="261" t="s">
        <v>15</v>
      </c>
      <c r="BE35" s="261" t="s">
        <v>15</v>
      </c>
      <c r="BF35" s="264" t="s">
        <v>15</v>
      </c>
      <c r="BG35" s="152" t="s">
        <v>15</v>
      </c>
      <c r="BH35" s="16" t="s">
        <v>16</v>
      </c>
      <c r="BI35" s="16" t="s">
        <v>16</v>
      </c>
      <c r="BJ35" s="16" t="s">
        <v>15</v>
      </c>
      <c r="BK35" s="16" t="s">
        <v>16</v>
      </c>
      <c r="BL35" s="16" t="s">
        <v>15</v>
      </c>
      <c r="BM35" s="16" t="s">
        <v>16</v>
      </c>
      <c r="BN35" s="261" t="s">
        <v>15</v>
      </c>
      <c r="BO35" s="16" t="s">
        <v>15</v>
      </c>
      <c r="BP35" s="16" t="s">
        <v>15</v>
      </c>
      <c r="BQ35" s="261" t="s">
        <v>15</v>
      </c>
      <c r="BR35" s="264" t="s">
        <v>16</v>
      </c>
      <c r="BS35" s="16" t="s">
        <v>15</v>
      </c>
      <c r="BT35" s="261" t="s">
        <v>16</v>
      </c>
      <c r="BU35" s="16" t="s">
        <v>15</v>
      </c>
      <c r="BV35" s="16" t="s">
        <v>15</v>
      </c>
      <c r="BW35" s="16" t="s">
        <v>16</v>
      </c>
      <c r="BX35" s="22">
        <f t="shared" si="4"/>
        <v>0.6818181818</v>
      </c>
      <c r="BY35" s="107" t="s">
        <v>16</v>
      </c>
    </row>
    <row r="36">
      <c r="A36" s="100">
        <v>32.0</v>
      </c>
      <c r="B36" s="330"/>
      <c r="C36" s="331">
        <v>46195.0</v>
      </c>
      <c r="D36" s="214" t="s">
        <v>20</v>
      </c>
      <c r="E36" s="214" t="s">
        <v>20</v>
      </c>
      <c r="F36" s="214" t="s">
        <v>20</v>
      </c>
      <c r="G36" s="214" t="s">
        <v>20</v>
      </c>
      <c r="H36" s="214" t="s">
        <v>20</v>
      </c>
      <c r="I36" s="214" t="s">
        <v>20</v>
      </c>
      <c r="J36" s="214" t="s">
        <v>20</v>
      </c>
      <c r="K36" s="214" t="s">
        <v>20</v>
      </c>
      <c r="L36" s="214" t="s">
        <v>20</v>
      </c>
      <c r="M36" s="214" t="s">
        <v>20</v>
      </c>
      <c r="N36" s="214" t="s">
        <v>20</v>
      </c>
      <c r="O36" s="214" t="s">
        <v>20</v>
      </c>
      <c r="P36" s="214" t="s">
        <v>20</v>
      </c>
      <c r="Q36" s="214" t="s">
        <v>20</v>
      </c>
      <c r="R36" s="214" t="s">
        <v>20</v>
      </c>
      <c r="S36" s="214" t="s">
        <v>20</v>
      </c>
      <c r="T36" s="214" t="s">
        <v>20</v>
      </c>
      <c r="U36" s="214" t="s">
        <v>20</v>
      </c>
      <c r="V36" s="214" t="s">
        <v>20</v>
      </c>
      <c r="W36" s="214" t="s">
        <v>20</v>
      </c>
      <c r="X36" s="130" t="str">
        <f t="shared" si="1"/>
        <v>0,00%</v>
      </c>
      <c r="Y36" s="214" t="s">
        <v>20</v>
      </c>
      <c r="Z36" s="214" t="s">
        <v>20</v>
      </c>
      <c r="AA36" s="214" t="s">
        <v>20</v>
      </c>
      <c r="AB36" s="214" t="s">
        <v>20</v>
      </c>
      <c r="AC36" s="214" t="s">
        <v>20</v>
      </c>
      <c r="AD36" s="214" t="s">
        <v>20</v>
      </c>
      <c r="AE36" s="214" t="s">
        <v>20</v>
      </c>
      <c r="AF36" s="214" t="s">
        <v>20</v>
      </c>
      <c r="AG36" s="214" t="s">
        <v>20</v>
      </c>
      <c r="AH36" s="214" t="s">
        <v>20</v>
      </c>
      <c r="AI36" s="214" t="s">
        <v>20</v>
      </c>
      <c r="AJ36" s="214" t="s">
        <v>20</v>
      </c>
      <c r="AK36" s="214" t="s">
        <v>20</v>
      </c>
      <c r="AL36" s="214" t="s">
        <v>20</v>
      </c>
      <c r="AM36" s="271" t="s">
        <v>15</v>
      </c>
      <c r="AN36" s="16" t="s">
        <v>16</v>
      </c>
      <c r="AO36" s="16" t="s">
        <v>15</v>
      </c>
      <c r="AP36" s="16" t="s">
        <v>15</v>
      </c>
      <c r="AQ36" s="69" t="s">
        <v>15</v>
      </c>
      <c r="AR36" s="100" t="s">
        <v>15</v>
      </c>
      <c r="AS36" s="130">
        <f t="shared" ref="AS36:AS38" si="5">IFERROR(COUNTIF(AM36:AR36,"P")/(COUNTIF(AM36:AR36,"P")+COUNTIF(AM36:AR36,"F")), "0,00%")</f>
        <v>0.8333333333</v>
      </c>
      <c r="AT36" s="69" t="s">
        <v>15</v>
      </c>
      <c r="AU36" s="69" t="s">
        <v>16</v>
      </c>
      <c r="AV36" s="16" t="s">
        <v>15</v>
      </c>
      <c r="AW36" s="16" t="s">
        <v>15</v>
      </c>
      <c r="AX36" s="100" t="s">
        <v>15</v>
      </c>
      <c r="AY36" s="16" t="s">
        <v>16</v>
      </c>
      <c r="AZ36" s="16" t="s">
        <v>15</v>
      </c>
      <c r="BA36" s="130">
        <f t="shared" si="3"/>
        <v>0.7142857143</v>
      </c>
      <c r="BB36" s="324" t="s">
        <v>15</v>
      </c>
      <c r="BC36" s="261" t="s">
        <v>15</v>
      </c>
      <c r="BD36" s="261" t="s">
        <v>15</v>
      </c>
      <c r="BE36" s="261" t="s">
        <v>15</v>
      </c>
      <c r="BF36" s="264" t="s">
        <v>15</v>
      </c>
      <c r="BG36" s="152" t="s">
        <v>15</v>
      </c>
      <c r="BH36" s="100" t="s">
        <v>15</v>
      </c>
      <c r="BI36" s="100" t="s">
        <v>15</v>
      </c>
      <c r="BJ36" s="100" t="s">
        <v>15</v>
      </c>
      <c r="BK36" s="100" t="s">
        <v>16</v>
      </c>
      <c r="BL36" s="100" t="s">
        <v>16</v>
      </c>
      <c r="BM36" s="100" t="s">
        <v>16</v>
      </c>
      <c r="BN36" s="324" t="s">
        <v>16</v>
      </c>
      <c r="BO36" s="100" t="s">
        <v>16</v>
      </c>
      <c r="BP36" s="100" t="s">
        <v>15</v>
      </c>
      <c r="BQ36" s="324" t="s">
        <v>15</v>
      </c>
      <c r="BR36" s="264" t="s">
        <v>16</v>
      </c>
      <c r="BS36" s="100" t="s">
        <v>15</v>
      </c>
      <c r="BT36" s="324" t="s">
        <v>15</v>
      </c>
      <c r="BU36" s="100" t="s">
        <v>15</v>
      </c>
      <c r="BV36" s="100" t="s">
        <v>15</v>
      </c>
      <c r="BW36" s="100" t="s">
        <v>16</v>
      </c>
      <c r="BX36" s="130">
        <f t="shared" si="4"/>
        <v>0.6818181818</v>
      </c>
      <c r="BY36" s="332" t="s">
        <v>15</v>
      </c>
      <c r="BZ36" s="132"/>
      <c r="CA36" s="132"/>
      <c r="CB36" s="132"/>
      <c r="CC36" s="132"/>
      <c r="CD36" s="132"/>
      <c r="CE36" s="132"/>
      <c r="CF36" s="132"/>
      <c r="CG36" s="132"/>
      <c r="CH36" s="132"/>
      <c r="CI36" s="132"/>
      <c r="CJ36" s="132"/>
      <c r="CK36" s="132"/>
      <c r="CL36" s="132"/>
      <c r="CM36" s="132"/>
      <c r="CN36" s="132"/>
      <c r="CO36" s="132"/>
      <c r="CP36" s="132"/>
    </row>
    <row r="37">
      <c r="A37" s="100">
        <v>33.0</v>
      </c>
      <c r="B37" s="317"/>
      <c r="C37" s="329">
        <v>46223.0</v>
      </c>
      <c r="D37" s="214" t="s">
        <v>20</v>
      </c>
      <c r="E37" s="214" t="s">
        <v>20</v>
      </c>
      <c r="F37" s="214" t="s">
        <v>20</v>
      </c>
      <c r="G37" s="214" t="s">
        <v>20</v>
      </c>
      <c r="H37" s="214" t="s">
        <v>20</v>
      </c>
      <c r="I37" s="214" t="s">
        <v>20</v>
      </c>
      <c r="J37" s="214" t="s">
        <v>20</v>
      </c>
      <c r="K37" s="214" t="s">
        <v>20</v>
      </c>
      <c r="L37" s="214" t="s">
        <v>20</v>
      </c>
      <c r="M37" s="214" t="s">
        <v>20</v>
      </c>
      <c r="N37" s="214" t="s">
        <v>20</v>
      </c>
      <c r="O37" s="214" t="s">
        <v>20</v>
      </c>
      <c r="P37" s="214" t="s">
        <v>20</v>
      </c>
      <c r="Q37" s="214" t="s">
        <v>20</v>
      </c>
      <c r="R37" s="214" t="s">
        <v>20</v>
      </c>
      <c r="S37" s="214" t="s">
        <v>20</v>
      </c>
      <c r="T37" s="214" t="s">
        <v>20</v>
      </c>
      <c r="U37" s="214" t="s">
        <v>20</v>
      </c>
      <c r="V37" s="214" t="s">
        <v>20</v>
      </c>
      <c r="W37" s="214" t="s">
        <v>20</v>
      </c>
      <c r="X37" s="130" t="str">
        <f t="shared" si="1"/>
        <v>0,00%</v>
      </c>
      <c r="Y37" s="214" t="s">
        <v>20</v>
      </c>
      <c r="Z37" s="214" t="s">
        <v>20</v>
      </c>
      <c r="AA37" s="214" t="s">
        <v>20</v>
      </c>
      <c r="AB37" s="214" t="s">
        <v>20</v>
      </c>
      <c r="AC37" s="214" t="s">
        <v>20</v>
      </c>
      <c r="AD37" s="214" t="s">
        <v>20</v>
      </c>
      <c r="AE37" s="214" t="s">
        <v>20</v>
      </c>
      <c r="AF37" s="214" t="s">
        <v>20</v>
      </c>
      <c r="AG37" s="214" t="s">
        <v>20</v>
      </c>
      <c r="AH37" s="214" t="s">
        <v>20</v>
      </c>
      <c r="AI37" s="214" t="s">
        <v>20</v>
      </c>
      <c r="AJ37" s="214" t="s">
        <v>20</v>
      </c>
      <c r="AK37" s="214" t="s">
        <v>20</v>
      </c>
      <c r="AL37" s="214" t="s">
        <v>20</v>
      </c>
      <c r="AM37" s="214" t="s">
        <v>20</v>
      </c>
      <c r="AN37" s="214" t="s">
        <v>20</v>
      </c>
      <c r="AO37" s="214" t="s">
        <v>20</v>
      </c>
      <c r="AP37" s="214" t="s">
        <v>20</v>
      </c>
      <c r="AQ37" s="214" t="s">
        <v>20</v>
      </c>
      <c r="AR37" s="214" t="s">
        <v>20</v>
      </c>
      <c r="AS37" s="130" t="str">
        <f t="shared" si="5"/>
        <v>0,00%</v>
      </c>
      <c r="AT37" s="214" t="s">
        <v>20</v>
      </c>
      <c r="AU37" s="214" t="s">
        <v>20</v>
      </c>
      <c r="AV37" s="214" t="s">
        <v>20</v>
      </c>
      <c r="AW37" s="16" t="s">
        <v>15</v>
      </c>
      <c r="AX37" s="100" t="s">
        <v>15</v>
      </c>
      <c r="AY37" s="16" t="s">
        <v>15</v>
      </c>
      <c r="AZ37" s="16" t="s">
        <v>15</v>
      </c>
      <c r="BA37" s="130">
        <f t="shared" si="3"/>
        <v>1</v>
      </c>
      <c r="BB37" s="324" t="s">
        <v>15</v>
      </c>
      <c r="BC37" s="261" t="s">
        <v>15</v>
      </c>
      <c r="BD37" s="261" t="s">
        <v>15</v>
      </c>
      <c r="BE37" s="261" t="s">
        <v>15</v>
      </c>
      <c r="BF37" s="264" t="s">
        <v>16</v>
      </c>
      <c r="BG37" s="152" t="s">
        <v>15</v>
      </c>
      <c r="BH37" s="100" t="s">
        <v>15</v>
      </c>
      <c r="BI37" s="100" t="s">
        <v>15</v>
      </c>
      <c r="BJ37" s="100" t="s">
        <v>15</v>
      </c>
      <c r="BK37" s="100" t="s">
        <v>15</v>
      </c>
      <c r="BL37" s="100" t="s">
        <v>15</v>
      </c>
      <c r="BM37" s="100" t="s">
        <v>16</v>
      </c>
      <c r="BN37" s="324" t="s">
        <v>15</v>
      </c>
      <c r="BO37" s="100" t="s">
        <v>16</v>
      </c>
      <c r="BP37" s="100" t="s">
        <v>15</v>
      </c>
      <c r="BQ37" s="324" t="s">
        <v>15</v>
      </c>
      <c r="BR37" s="261" t="s">
        <v>15</v>
      </c>
      <c r="BS37" s="100" t="s">
        <v>15</v>
      </c>
      <c r="BT37" s="324" t="s">
        <v>15</v>
      </c>
      <c r="BU37" s="100" t="s">
        <v>15</v>
      </c>
      <c r="BV37" s="100" t="s">
        <v>16</v>
      </c>
      <c r="BW37" s="100" t="s">
        <v>15</v>
      </c>
      <c r="BX37" s="130">
        <f t="shared" si="4"/>
        <v>0.8181818182</v>
      </c>
      <c r="BY37" s="107" t="s">
        <v>15</v>
      </c>
    </row>
    <row r="38">
      <c r="A38" s="299">
        <v>34.0</v>
      </c>
      <c r="B38" s="55"/>
      <c r="C38" s="331">
        <v>46231.0</v>
      </c>
      <c r="D38" s="214" t="s">
        <v>20</v>
      </c>
      <c r="E38" s="214" t="s">
        <v>20</v>
      </c>
      <c r="F38" s="214" t="s">
        <v>20</v>
      </c>
      <c r="G38" s="214" t="s">
        <v>20</v>
      </c>
      <c r="H38" s="214" t="s">
        <v>20</v>
      </c>
      <c r="I38" s="214" t="s">
        <v>20</v>
      </c>
      <c r="J38" s="214" t="s">
        <v>20</v>
      </c>
      <c r="K38" s="214" t="s">
        <v>20</v>
      </c>
      <c r="L38" s="214" t="s">
        <v>20</v>
      </c>
      <c r="M38" s="214" t="s">
        <v>20</v>
      </c>
      <c r="N38" s="214" t="s">
        <v>20</v>
      </c>
      <c r="O38" s="214" t="s">
        <v>20</v>
      </c>
      <c r="P38" s="214" t="s">
        <v>20</v>
      </c>
      <c r="Q38" s="214" t="s">
        <v>20</v>
      </c>
      <c r="R38" s="214" t="s">
        <v>20</v>
      </c>
      <c r="S38" s="214" t="s">
        <v>20</v>
      </c>
      <c r="T38" s="214" t="s">
        <v>20</v>
      </c>
      <c r="U38" s="214" t="s">
        <v>20</v>
      </c>
      <c r="V38" s="214" t="s">
        <v>20</v>
      </c>
      <c r="W38" s="214" t="s">
        <v>20</v>
      </c>
      <c r="X38" s="130" t="str">
        <f t="shared" si="1"/>
        <v>0,00%</v>
      </c>
      <c r="Y38" s="214" t="s">
        <v>20</v>
      </c>
      <c r="Z38" s="214" t="s">
        <v>20</v>
      </c>
      <c r="AA38" s="214" t="s">
        <v>20</v>
      </c>
      <c r="AB38" s="214" t="s">
        <v>20</v>
      </c>
      <c r="AC38" s="214" t="s">
        <v>20</v>
      </c>
      <c r="AD38" s="214" t="s">
        <v>20</v>
      </c>
      <c r="AE38" s="214" t="s">
        <v>20</v>
      </c>
      <c r="AF38" s="214" t="s">
        <v>20</v>
      </c>
      <c r="AG38" s="214" t="s">
        <v>20</v>
      </c>
      <c r="AH38" s="214" t="s">
        <v>20</v>
      </c>
      <c r="AI38" s="214" t="s">
        <v>20</v>
      </c>
      <c r="AJ38" s="214" t="s">
        <v>20</v>
      </c>
      <c r="AK38" s="214" t="s">
        <v>20</v>
      </c>
      <c r="AL38" s="214" t="s">
        <v>20</v>
      </c>
      <c r="AM38" s="214" t="s">
        <v>20</v>
      </c>
      <c r="AN38" s="214" t="s">
        <v>20</v>
      </c>
      <c r="AO38" s="214" t="s">
        <v>20</v>
      </c>
      <c r="AP38" s="214" t="s">
        <v>20</v>
      </c>
      <c r="AQ38" s="214" t="s">
        <v>20</v>
      </c>
      <c r="AR38" s="214" t="s">
        <v>20</v>
      </c>
      <c r="AS38" s="130" t="str">
        <f t="shared" si="5"/>
        <v>0,00%</v>
      </c>
      <c r="AT38" s="214" t="s">
        <v>20</v>
      </c>
      <c r="AU38" s="214" t="s">
        <v>20</v>
      </c>
      <c r="AV38" s="214" t="s">
        <v>20</v>
      </c>
      <c r="AW38" s="16" t="s">
        <v>15</v>
      </c>
      <c r="AX38" s="100" t="s">
        <v>15</v>
      </c>
      <c r="AY38" s="16" t="s">
        <v>15</v>
      </c>
      <c r="AZ38" s="16" t="s">
        <v>15</v>
      </c>
      <c r="BA38" s="130">
        <f t="shared" si="3"/>
        <v>1</v>
      </c>
      <c r="BB38" s="324" t="s">
        <v>15</v>
      </c>
      <c r="BC38" s="264" t="s">
        <v>16</v>
      </c>
      <c r="BD38" s="261" t="s">
        <v>15</v>
      </c>
      <c r="BE38" s="261" t="s">
        <v>15</v>
      </c>
      <c r="BF38" s="264" t="s">
        <v>16</v>
      </c>
      <c r="BG38" s="152" t="s">
        <v>16</v>
      </c>
      <c r="BH38" s="100" t="s">
        <v>15</v>
      </c>
      <c r="BI38" s="100" t="s">
        <v>15</v>
      </c>
      <c r="BJ38" s="100" t="s">
        <v>15</v>
      </c>
      <c r="BK38" s="100" t="s">
        <v>15</v>
      </c>
      <c r="BL38" s="100" t="s">
        <v>16</v>
      </c>
      <c r="BM38" s="100" t="s">
        <v>15</v>
      </c>
      <c r="BN38" s="324" t="s">
        <v>15</v>
      </c>
      <c r="BO38" s="100" t="s">
        <v>15</v>
      </c>
      <c r="BP38" s="100" t="s">
        <v>15</v>
      </c>
      <c r="BQ38" s="324" t="s">
        <v>15</v>
      </c>
      <c r="BR38" s="264" t="s">
        <v>16</v>
      </c>
      <c r="BS38" s="100" t="s">
        <v>15</v>
      </c>
      <c r="BT38" s="324" t="s">
        <v>16</v>
      </c>
      <c r="BU38" s="100" t="s">
        <v>15</v>
      </c>
      <c r="BV38" s="100" t="s">
        <v>15</v>
      </c>
      <c r="BW38" s="100" t="s">
        <v>16</v>
      </c>
      <c r="BX38" s="130">
        <f t="shared" si="4"/>
        <v>0.6818181818</v>
      </c>
      <c r="BY38" s="107" t="s">
        <v>15</v>
      </c>
    </row>
    <row r="39">
      <c r="A39" s="6"/>
      <c r="C39" s="301"/>
      <c r="D39" s="301"/>
      <c r="E39" s="333" t="s">
        <v>28</v>
      </c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101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</row>
    <row r="40">
      <c r="A40" s="6"/>
      <c r="C40" s="303"/>
      <c r="D40" s="303"/>
      <c r="E40" s="304" t="s">
        <v>84</v>
      </c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101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</row>
    <row r="41">
      <c r="A41" s="6"/>
      <c r="C41" s="301"/>
      <c r="D41" s="301"/>
      <c r="E41" s="306" t="s">
        <v>85</v>
      </c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101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</row>
    <row r="42">
      <c r="A42" s="6"/>
      <c r="B42" s="308"/>
      <c r="C42" s="303"/>
      <c r="D42" s="303"/>
      <c r="E42" s="304" t="s">
        <v>86</v>
      </c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101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</row>
    <row r="43">
      <c r="A43" s="6"/>
      <c r="B43" s="307"/>
      <c r="C43" s="301"/>
      <c r="D43" s="301"/>
      <c r="E43" s="306" t="s">
        <v>87</v>
      </c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101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</row>
    <row r="44">
      <c r="A44" s="6"/>
      <c r="B44" s="308"/>
      <c r="C44" s="303"/>
      <c r="D44" s="303"/>
      <c r="E44" s="304" t="s">
        <v>88</v>
      </c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101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</row>
    <row r="45">
      <c r="A45" s="6"/>
      <c r="B45" s="307"/>
      <c r="C45" s="301"/>
      <c r="D45" s="301"/>
      <c r="E45" s="306" t="s">
        <v>89</v>
      </c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101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</row>
    <row r="46">
      <c r="A46" s="6"/>
      <c r="B46" s="308"/>
      <c r="C46" s="303"/>
      <c r="D46" s="303"/>
      <c r="E46" s="304" t="s">
        <v>90</v>
      </c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101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</row>
    <row r="47">
      <c r="A47" s="6"/>
      <c r="C47" s="6"/>
      <c r="D47" s="6"/>
      <c r="E47" s="309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101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</row>
    <row r="48">
      <c r="A48" s="6"/>
      <c r="C48" s="6"/>
      <c r="D48" s="6"/>
      <c r="E48" s="309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8"/>
      <c r="AQ48" s="98"/>
      <c r="AR48" s="98"/>
      <c r="AS48" s="101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</row>
    <row r="49">
      <c r="A49" s="6"/>
      <c r="C49" s="6"/>
      <c r="D49" s="6"/>
      <c r="E49" s="309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101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</row>
    <row r="50">
      <c r="C50" s="6"/>
      <c r="D50" s="6"/>
      <c r="E50" s="309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S50" s="101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</row>
    <row r="51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</row>
    <row r="52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</row>
    <row r="53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</row>
    <row r="54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</row>
    <row r="55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</row>
    <row r="56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</row>
    <row r="57"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</row>
    <row r="58"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</row>
    <row r="59"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</row>
    <row r="60"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</row>
    <row r="61"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</row>
    <row r="62"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</row>
    <row r="63"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</row>
    <row r="64"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</row>
    <row r="65"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</row>
    <row r="66"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</row>
    <row r="67"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</row>
    <row r="68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</row>
    <row r="69"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</row>
    <row r="70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</row>
    <row r="71"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</row>
    <row r="72"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</row>
    <row r="73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</row>
    <row r="74"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</row>
    <row r="75"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</row>
    <row r="76"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</row>
    <row r="77"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</row>
    <row r="78"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</row>
    <row r="79"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</row>
    <row r="80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</row>
    <row r="81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</row>
    <row r="82"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</row>
    <row r="83"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</row>
    <row r="84"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</row>
    <row r="85"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</row>
    <row r="86"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</row>
    <row r="87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</row>
    <row r="88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</row>
    <row r="89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</row>
    <row r="90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</row>
    <row r="91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</row>
    <row r="92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</row>
    <row r="93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</row>
    <row r="94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</row>
    <row r="95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</row>
    <row r="96"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</row>
    <row r="97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</row>
    <row r="98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</row>
    <row r="99"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</row>
    <row r="100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</row>
    <row r="101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</row>
    <row r="102"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</row>
    <row r="103"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</row>
    <row r="104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</row>
    <row r="105"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</row>
    <row r="106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</row>
    <row r="107"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</row>
    <row r="108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</row>
    <row r="109"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</row>
    <row r="110"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</row>
    <row r="111"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</row>
    <row r="112"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</row>
    <row r="113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</row>
    <row r="114"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</row>
    <row r="115"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</row>
    <row r="116"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</row>
    <row r="117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</row>
    <row r="118"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</row>
    <row r="119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</row>
    <row r="120"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</row>
    <row r="121"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</row>
    <row r="122"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</row>
    <row r="123"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</row>
    <row r="124"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</row>
    <row r="125"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</row>
    <row r="126"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</row>
    <row r="127"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</row>
    <row r="128"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</row>
    <row r="129"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</row>
    <row r="130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</row>
    <row r="131"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</row>
    <row r="132"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</row>
    <row r="133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</row>
    <row r="134"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</row>
    <row r="135"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</row>
    <row r="136"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</row>
    <row r="137"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</row>
    <row r="138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</row>
    <row r="139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</row>
    <row r="140"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</row>
    <row r="141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</row>
    <row r="142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</row>
    <row r="143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</row>
    <row r="144"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</row>
    <row r="145"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</row>
    <row r="146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</row>
    <row r="147"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</row>
    <row r="148"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</row>
    <row r="149"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</row>
    <row r="150"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</row>
    <row r="151"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</row>
    <row r="152"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</row>
    <row r="153"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</row>
    <row r="154"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</row>
    <row r="155"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</row>
    <row r="156"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</row>
    <row r="157"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</row>
    <row r="158"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</row>
    <row r="159"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</row>
    <row r="160"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</row>
    <row r="161"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</row>
    <row r="162"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</row>
    <row r="163"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</row>
    <row r="164"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</row>
    <row r="165"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</row>
    <row r="166"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</row>
    <row r="167"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</row>
    <row r="168"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</row>
    <row r="169"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</row>
    <row r="170"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</row>
    <row r="171"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</row>
    <row r="172"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</row>
    <row r="173"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</row>
    <row r="174"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</row>
    <row r="175"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</row>
    <row r="176"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</row>
    <row r="177"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</row>
    <row r="178"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</row>
    <row r="179"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</row>
    <row r="180"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</row>
    <row r="181"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</row>
    <row r="182"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</row>
    <row r="183"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</row>
    <row r="184"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</row>
    <row r="185"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</row>
    <row r="186"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</row>
    <row r="187"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</row>
    <row r="188"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</row>
    <row r="189"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</row>
    <row r="190"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</row>
    <row r="191"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</row>
    <row r="192"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</row>
    <row r="193"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</row>
    <row r="194"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</row>
    <row r="195"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</row>
    <row r="196"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</row>
    <row r="197"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</row>
    <row r="198"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</row>
    <row r="199"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</row>
    <row r="200"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</row>
    <row r="201"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</row>
    <row r="202"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</row>
    <row r="203"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</row>
    <row r="204"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</row>
    <row r="205"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</row>
    <row r="206"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</row>
    <row r="207"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</row>
    <row r="208"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</row>
    <row r="209"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</row>
    <row r="210"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</row>
    <row r="211"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</row>
    <row r="212"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</row>
    <row r="213"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</row>
    <row r="214"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</row>
    <row r="215"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</row>
    <row r="216"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</row>
    <row r="217"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</row>
    <row r="218"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</row>
    <row r="219"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</row>
    <row r="220"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</row>
    <row r="221"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</row>
    <row r="222"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</row>
    <row r="223"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</row>
    <row r="224"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</row>
    <row r="225"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</row>
    <row r="226"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</row>
    <row r="227"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</row>
    <row r="228"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</row>
    <row r="229"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</row>
    <row r="230"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</row>
    <row r="231"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</row>
    <row r="232"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</row>
    <row r="233"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</row>
    <row r="234"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</row>
    <row r="235"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</row>
    <row r="236"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</row>
    <row r="237"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</row>
    <row r="238"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</row>
    <row r="239"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</row>
    <row r="240"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</row>
    <row r="241"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</row>
    <row r="242"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</row>
    <row r="243"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</row>
    <row r="244"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</row>
    <row r="245"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</row>
    <row r="246"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</row>
    <row r="247"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</row>
    <row r="248"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</row>
    <row r="249"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</row>
    <row r="250"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</row>
    <row r="251"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</row>
    <row r="252"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</row>
    <row r="253"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</row>
    <row r="254"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</row>
    <row r="255"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</row>
    <row r="256"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</row>
    <row r="257"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</row>
    <row r="258"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</row>
    <row r="259"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</row>
    <row r="260"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</row>
    <row r="261"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</row>
    <row r="262"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</row>
    <row r="263"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</row>
    <row r="264"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</row>
    <row r="265"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</row>
    <row r="266"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</row>
    <row r="267"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</row>
    <row r="268"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</row>
    <row r="269"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</row>
    <row r="270"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</row>
    <row r="271"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</row>
    <row r="272"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</row>
    <row r="273"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</row>
    <row r="274"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</row>
    <row r="275"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</row>
    <row r="276"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</row>
    <row r="277"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</row>
    <row r="278"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</row>
    <row r="279"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</row>
    <row r="280"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</row>
    <row r="281"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</row>
    <row r="282"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</row>
    <row r="283"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</row>
    <row r="284"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</row>
    <row r="285"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</row>
    <row r="286"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</row>
    <row r="287"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</row>
    <row r="288"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</row>
    <row r="289"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</row>
    <row r="290"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</row>
    <row r="291"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</row>
    <row r="292"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</row>
    <row r="293"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</row>
    <row r="294"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</row>
    <row r="295"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</row>
    <row r="296"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</row>
    <row r="297"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</row>
    <row r="298"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</row>
    <row r="299"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</row>
    <row r="300"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</row>
    <row r="301"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</row>
    <row r="302"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</row>
    <row r="303"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</row>
    <row r="304"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</row>
    <row r="305"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</row>
    <row r="306"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</row>
    <row r="307"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</row>
    <row r="308"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</row>
    <row r="309"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</row>
    <row r="310"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</row>
    <row r="311"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</row>
    <row r="312"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</row>
    <row r="313"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</row>
    <row r="314"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</row>
    <row r="315"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</row>
    <row r="316"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</row>
    <row r="317"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</row>
    <row r="318"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</row>
    <row r="319"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</row>
    <row r="320"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</row>
    <row r="321"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</row>
    <row r="322"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</row>
    <row r="323"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</row>
    <row r="324"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</row>
    <row r="325"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</row>
    <row r="326"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</row>
    <row r="327"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</row>
    <row r="328"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</row>
    <row r="329"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</row>
    <row r="330"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</row>
    <row r="331"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</row>
    <row r="332"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</row>
    <row r="333"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</row>
    <row r="334"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</row>
    <row r="335"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</row>
    <row r="336"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</row>
    <row r="337"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</row>
    <row r="338"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</row>
    <row r="339"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</row>
    <row r="340"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</row>
    <row r="341"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</row>
    <row r="342"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</row>
    <row r="343"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</row>
    <row r="344"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</row>
    <row r="345"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</row>
    <row r="346"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</row>
    <row r="347"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</row>
    <row r="348"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</row>
    <row r="349"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</row>
    <row r="350"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</row>
    <row r="351"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</row>
    <row r="352"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</row>
    <row r="353"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</row>
    <row r="354"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</row>
    <row r="355"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</row>
    <row r="356"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</row>
    <row r="357"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</row>
    <row r="358"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</row>
    <row r="359"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</row>
    <row r="360"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</row>
    <row r="361"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</row>
    <row r="362"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</row>
    <row r="363"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</row>
    <row r="364"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</row>
    <row r="365"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</row>
    <row r="366"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</row>
    <row r="367"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</row>
    <row r="368"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</row>
    <row r="369"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</row>
    <row r="370"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</row>
    <row r="371"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</row>
    <row r="372"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</row>
    <row r="373"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</row>
    <row r="374"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</row>
    <row r="375"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</row>
    <row r="376"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</row>
    <row r="377"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</row>
    <row r="378"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</row>
    <row r="379"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</row>
    <row r="380"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</row>
    <row r="381"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</row>
    <row r="382"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</row>
    <row r="383"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</row>
    <row r="384"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</row>
    <row r="385"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</row>
    <row r="386"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</row>
    <row r="387"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</row>
    <row r="388"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</row>
    <row r="389"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</row>
    <row r="390"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</row>
    <row r="391"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</row>
    <row r="392"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</row>
    <row r="393"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</row>
    <row r="394"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</row>
    <row r="395"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</row>
    <row r="396"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</row>
    <row r="397"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</row>
    <row r="398"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</row>
    <row r="399"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</row>
    <row r="400"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</row>
    <row r="401"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</row>
    <row r="402"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</row>
    <row r="403"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</row>
    <row r="404"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</row>
    <row r="405"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</row>
    <row r="406"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</row>
    <row r="407"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</row>
    <row r="408"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</row>
    <row r="409"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</row>
    <row r="410"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</row>
    <row r="411"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</row>
    <row r="412"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</row>
    <row r="413"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</row>
    <row r="414"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</row>
    <row r="415"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</row>
    <row r="416"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</row>
    <row r="417"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</row>
    <row r="418"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</row>
    <row r="419"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</row>
    <row r="420"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</row>
    <row r="421"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</row>
    <row r="422"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</row>
    <row r="423"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</row>
    <row r="424"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</row>
    <row r="425"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</row>
    <row r="426"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</row>
    <row r="427"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</row>
    <row r="428"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</row>
    <row r="429"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</row>
    <row r="430"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</row>
    <row r="431"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</row>
    <row r="432"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</row>
    <row r="433"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</row>
    <row r="434"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</row>
    <row r="435"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</row>
    <row r="436"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</row>
    <row r="437"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</row>
    <row r="438"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</row>
    <row r="439"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</row>
    <row r="440"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</row>
    <row r="441"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</row>
    <row r="442"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</row>
    <row r="443"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</row>
    <row r="444"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</row>
    <row r="445"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</row>
    <row r="446"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</row>
    <row r="447"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</row>
    <row r="448"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</row>
    <row r="449"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</row>
    <row r="450"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</row>
    <row r="451"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</row>
    <row r="452"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</row>
    <row r="453"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</row>
    <row r="454"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</row>
    <row r="455"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</row>
    <row r="456"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</row>
    <row r="457"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</row>
    <row r="458"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</row>
    <row r="459"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</row>
    <row r="460"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</row>
    <row r="461"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</row>
    <row r="462"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</row>
    <row r="463"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</row>
    <row r="464"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</row>
    <row r="465"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</row>
    <row r="466"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</row>
    <row r="467"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</row>
    <row r="468"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</row>
    <row r="469"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</row>
    <row r="470"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</row>
    <row r="471"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</row>
    <row r="472"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</row>
    <row r="473"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</row>
    <row r="474"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</row>
    <row r="475"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</row>
    <row r="476"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</row>
    <row r="477"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</row>
    <row r="478"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</row>
    <row r="479"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</row>
    <row r="480"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</row>
    <row r="481"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</row>
    <row r="482"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</row>
    <row r="483"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</row>
    <row r="484"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</row>
    <row r="485"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</row>
    <row r="486"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</row>
    <row r="487"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</row>
    <row r="488"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</row>
    <row r="489"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</row>
    <row r="490"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</row>
    <row r="491"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</row>
    <row r="492"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</row>
    <row r="493"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</row>
    <row r="494"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</row>
    <row r="495"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</row>
    <row r="496"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</row>
    <row r="497"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</row>
    <row r="498"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</row>
    <row r="499"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</row>
    <row r="500"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</row>
    <row r="501"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</row>
    <row r="502"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</row>
    <row r="503"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</row>
    <row r="504"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</row>
    <row r="505"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</row>
    <row r="506"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</row>
    <row r="507"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</row>
    <row r="508"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</row>
    <row r="509"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</row>
    <row r="510"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</row>
    <row r="511"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</row>
    <row r="512"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</row>
    <row r="513"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</row>
    <row r="514"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</row>
    <row r="515"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</row>
    <row r="516"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</row>
    <row r="517"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</row>
    <row r="518"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</row>
    <row r="519"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</row>
    <row r="520"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</row>
    <row r="521"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</row>
    <row r="522"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</row>
    <row r="523"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</row>
    <row r="524"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</row>
    <row r="525"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</row>
    <row r="526"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</row>
    <row r="527"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</row>
    <row r="528"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</row>
    <row r="529"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</row>
    <row r="530"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</row>
    <row r="531"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</row>
    <row r="532"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</row>
    <row r="533"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</row>
    <row r="534"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</row>
    <row r="535"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</row>
    <row r="536"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</row>
    <row r="537"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</row>
    <row r="538"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</row>
    <row r="539"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</row>
    <row r="540"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</row>
    <row r="541"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</row>
    <row r="542"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</row>
    <row r="543"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</row>
    <row r="544"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</row>
    <row r="545"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</row>
    <row r="546"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</row>
    <row r="547"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</row>
    <row r="548"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</row>
    <row r="549"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</row>
    <row r="550"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</row>
    <row r="551"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</row>
    <row r="552"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</row>
    <row r="553"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</row>
    <row r="554"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</row>
    <row r="555"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</row>
    <row r="556"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</row>
    <row r="557"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</row>
    <row r="558"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</row>
    <row r="559"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</row>
    <row r="560"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</row>
    <row r="561"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</row>
    <row r="562"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</row>
    <row r="563"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</row>
    <row r="564"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</row>
    <row r="565"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</row>
    <row r="566"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</row>
    <row r="567"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</row>
    <row r="568"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</row>
    <row r="569"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</row>
    <row r="570"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</row>
    <row r="571"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</row>
    <row r="572"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</row>
    <row r="573"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</row>
    <row r="574"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</row>
    <row r="575"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</row>
    <row r="576"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</row>
    <row r="577"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</row>
    <row r="578"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</row>
    <row r="579"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</row>
    <row r="580"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</row>
    <row r="581"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</row>
    <row r="582"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</row>
    <row r="583"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</row>
    <row r="584"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</row>
    <row r="585"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</row>
    <row r="586"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</row>
    <row r="587"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</row>
    <row r="588"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</row>
    <row r="589"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</row>
    <row r="590"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</row>
    <row r="591"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</row>
    <row r="592"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</row>
    <row r="593"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</row>
    <row r="594"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</row>
    <row r="595"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</row>
    <row r="596"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</row>
    <row r="597"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</row>
    <row r="598"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</row>
    <row r="599"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</row>
    <row r="600"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</row>
    <row r="601"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</row>
    <row r="602"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</row>
    <row r="603"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</row>
    <row r="604"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</row>
    <row r="605"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</row>
    <row r="606"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</row>
    <row r="607"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</row>
    <row r="608"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</row>
    <row r="609"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</row>
    <row r="610"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</row>
    <row r="611"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</row>
    <row r="612"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</row>
    <row r="613"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</row>
    <row r="614"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</row>
    <row r="615"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</row>
    <row r="616"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</row>
    <row r="617"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</row>
    <row r="618"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</row>
    <row r="619"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</row>
    <row r="620"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</row>
    <row r="621"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</row>
    <row r="622"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</row>
    <row r="623"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</row>
    <row r="624"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</row>
    <row r="625"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</row>
    <row r="626"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</row>
    <row r="627"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</row>
    <row r="628"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</row>
    <row r="629"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</row>
    <row r="630"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</row>
    <row r="631"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</row>
    <row r="632"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</row>
    <row r="633"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</row>
    <row r="634"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</row>
    <row r="635"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</row>
    <row r="636"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</row>
    <row r="637"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</row>
    <row r="638"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</row>
    <row r="639"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</row>
    <row r="640"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</row>
    <row r="641"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</row>
    <row r="642"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</row>
    <row r="643"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</row>
    <row r="644"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</row>
    <row r="645"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</row>
    <row r="646"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</row>
    <row r="647"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</row>
    <row r="648"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</row>
    <row r="649"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</row>
    <row r="650"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</row>
    <row r="651"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</row>
    <row r="652"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</row>
    <row r="653"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</row>
    <row r="654"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</row>
    <row r="655"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</row>
    <row r="656"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</row>
    <row r="657"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</row>
    <row r="658"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</row>
    <row r="659"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</row>
    <row r="660"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</row>
    <row r="661"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</row>
    <row r="662"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</row>
    <row r="663"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</row>
    <row r="664"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</row>
    <row r="665"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</row>
    <row r="666"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</row>
    <row r="667"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</row>
    <row r="668"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</row>
    <row r="669"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</row>
    <row r="670"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</row>
    <row r="671"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</row>
    <row r="672"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</row>
    <row r="673"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</row>
    <row r="674"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</row>
    <row r="675"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</row>
    <row r="676"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</row>
    <row r="677"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</row>
    <row r="678"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</row>
    <row r="679"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</row>
    <row r="680"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</row>
    <row r="681"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</row>
    <row r="682"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</row>
    <row r="683"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</row>
    <row r="684"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</row>
    <row r="685"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</row>
    <row r="686"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</row>
    <row r="687"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</row>
    <row r="688"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</row>
    <row r="689"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</row>
    <row r="690"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</row>
    <row r="691"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</row>
    <row r="692"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</row>
    <row r="693"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</row>
    <row r="694"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</row>
    <row r="695"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</row>
    <row r="696"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</row>
    <row r="697"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</row>
    <row r="698"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</row>
    <row r="699"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</row>
    <row r="700"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</row>
    <row r="701"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</row>
    <row r="702"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</row>
    <row r="703"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</row>
    <row r="704"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</row>
    <row r="705"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</row>
    <row r="706"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</row>
    <row r="707"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</row>
    <row r="708"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</row>
    <row r="709"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</row>
    <row r="710"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</row>
    <row r="711"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</row>
    <row r="712"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</row>
    <row r="713"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</row>
    <row r="714"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</row>
    <row r="715"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</row>
    <row r="716"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</row>
    <row r="717"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</row>
    <row r="718"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</row>
    <row r="719"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</row>
    <row r="720"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</row>
    <row r="721"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</row>
    <row r="722"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</row>
    <row r="723"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</row>
    <row r="724"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</row>
    <row r="725"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</row>
    <row r="726"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</row>
    <row r="727"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</row>
    <row r="728"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</row>
    <row r="729"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</row>
    <row r="730"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</row>
    <row r="731"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</row>
    <row r="732"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</row>
    <row r="733"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</row>
    <row r="734"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</row>
    <row r="735"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</row>
    <row r="736"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</row>
    <row r="737"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</row>
    <row r="738"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</row>
    <row r="739"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</row>
    <row r="740"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</row>
    <row r="741"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</row>
    <row r="742"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</row>
    <row r="743"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</row>
    <row r="744"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</row>
    <row r="745"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</row>
    <row r="746"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</row>
    <row r="747"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</row>
    <row r="748"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</row>
    <row r="749"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</row>
    <row r="750"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</row>
    <row r="751"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</row>
    <row r="752"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</row>
    <row r="753"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</row>
    <row r="754"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</row>
    <row r="755"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</row>
    <row r="756"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</row>
    <row r="757"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</row>
    <row r="758"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</row>
    <row r="759"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</row>
    <row r="760"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</row>
    <row r="761"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</row>
    <row r="762"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</row>
    <row r="763"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</row>
    <row r="764"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</row>
    <row r="765"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</row>
    <row r="766"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</row>
    <row r="767"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</row>
    <row r="768"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</row>
    <row r="769"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</row>
    <row r="770"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</row>
    <row r="771"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</row>
    <row r="772"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</row>
    <row r="773"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</row>
    <row r="774"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</row>
    <row r="775"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</row>
    <row r="776"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</row>
    <row r="777"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</row>
    <row r="778"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</row>
    <row r="779"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</row>
    <row r="780"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</row>
    <row r="781"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</row>
    <row r="782"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</row>
    <row r="783"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</row>
    <row r="784"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</row>
    <row r="785"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</row>
    <row r="786"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</row>
    <row r="787"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</row>
    <row r="788"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</row>
    <row r="789"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</row>
    <row r="790"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</row>
    <row r="791"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</row>
    <row r="792"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</row>
    <row r="793"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</row>
    <row r="794"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</row>
    <row r="795"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</row>
    <row r="796"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</row>
    <row r="797"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</row>
    <row r="798"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</row>
    <row r="799"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</row>
    <row r="800"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</row>
    <row r="801"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</row>
    <row r="802"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</row>
    <row r="803"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</row>
    <row r="804"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</row>
    <row r="805"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</row>
    <row r="806"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</row>
    <row r="807"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</row>
    <row r="808"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</row>
    <row r="809"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</row>
    <row r="810"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</row>
    <row r="811"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</row>
    <row r="812"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</row>
    <row r="813"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</row>
    <row r="814"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</row>
    <row r="815"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</row>
    <row r="816"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</row>
    <row r="817"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</row>
    <row r="818"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</row>
    <row r="819"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</row>
    <row r="820"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</row>
    <row r="821"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</row>
    <row r="822"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</row>
    <row r="823"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</row>
    <row r="824"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</row>
    <row r="825"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</row>
    <row r="826"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</row>
    <row r="827"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</row>
    <row r="828"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</row>
    <row r="829"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</row>
    <row r="830"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</row>
    <row r="831"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</row>
    <row r="832"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</row>
    <row r="833"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</row>
    <row r="834"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</row>
    <row r="835"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</row>
    <row r="836"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</row>
    <row r="837"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</row>
    <row r="838"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</row>
    <row r="839"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</row>
    <row r="840"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</row>
    <row r="841"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</row>
    <row r="842"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</row>
    <row r="843"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</row>
    <row r="844"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</row>
    <row r="845"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</row>
    <row r="846"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</row>
    <row r="847"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</row>
    <row r="848"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</row>
    <row r="849"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</row>
    <row r="850"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</row>
    <row r="851"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</row>
    <row r="852"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</row>
    <row r="853"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</row>
    <row r="854"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</row>
    <row r="855"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</row>
    <row r="856"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</row>
    <row r="857"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</row>
    <row r="858"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</row>
    <row r="859"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</row>
    <row r="860"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</row>
    <row r="861"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</row>
    <row r="862"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</row>
    <row r="863"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</row>
    <row r="864"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</row>
    <row r="865"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</row>
    <row r="866"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</row>
    <row r="867"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</row>
    <row r="868"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</row>
    <row r="869"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</row>
    <row r="870"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</row>
    <row r="871"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</row>
    <row r="872"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</row>
    <row r="873"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</row>
    <row r="874"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</row>
    <row r="875"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</row>
    <row r="876"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</row>
    <row r="877"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</row>
    <row r="878"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</row>
    <row r="879"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</row>
    <row r="880"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</row>
    <row r="881"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</row>
    <row r="882"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</row>
    <row r="883"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</row>
    <row r="884"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</row>
    <row r="885"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</row>
    <row r="886"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</row>
    <row r="887"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</row>
    <row r="888"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</row>
    <row r="889"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</row>
    <row r="890"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</row>
    <row r="891"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</row>
    <row r="892"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</row>
    <row r="893"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</row>
    <row r="894"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</row>
    <row r="895"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</row>
    <row r="896"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</row>
    <row r="897"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</row>
    <row r="898"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</row>
    <row r="899"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</row>
    <row r="900"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</row>
    <row r="901"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</row>
    <row r="902"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</row>
    <row r="903"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</row>
    <row r="904"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</row>
    <row r="905"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</row>
    <row r="906"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</row>
    <row r="907"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</row>
    <row r="908"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</row>
    <row r="909"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</row>
    <row r="910"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</row>
    <row r="911"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</row>
    <row r="912"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</row>
    <row r="913"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</row>
    <row r="914"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</row>
    <row r="915"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</row>
    <row r="916"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</row>
    <row r="917"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</row>
    <row r="918"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</row>
    <row r="919"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</row>
    <row r="920"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</row>
    <row r="921"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</row>
    <row r="922"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</row>
    <row r="923"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</row>
    <row r="924"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</row>
    <row r="925"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</row>
    <row r="926"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</row>
    <row r="927"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</row>
    <row r="928"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</row>
    <row r="929"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</row>
    <row r="930"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</row>
    <row r="931"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</row>
    <row r="932"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</row>
    <row r="933"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</row>
    <row r="934"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</row>
    <row r="935"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</row>
    <row r="936"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</row>
    <row r="937"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</row>
    <row r="938"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</row>
    <row r="939"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</row>
    <row r="940"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</row>
    <row r="941"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</row>
    <row r="942"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</row>
    <row r="943"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</row>
    <row r="944"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</row>
    <row r="945"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</row>
    <row r="946"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</row>
    <row r="947"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</row>
    <row r="948"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</row>
    <row r="949"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</row>
    <row r="950"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</row>
    <row r="951"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</row>
    <row r="952"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</row>
    <row r="953"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</row>
    <row r="954"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</row>
    <row r="955"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</row>
    <row r="956"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</row>
    <row r="957"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</row>
    <row r="958"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</row>
    <row r="959"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</row>
    <row r="960"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</row>
    <row r="961"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</row>
    <row r="962"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</row>
    <row r="963"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</row>
    <row r="964"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</row>
    <row r="965"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</row>
    <row r="966"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</row>
    <row r="967"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</row>
    <row r="968"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</row>
    <row r="969"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</row>
    <row r="970"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</row>
    <row r="971"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</row>
    <row r="972"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</row>
    <row r="973"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</row>
    <row r="974"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</row>
    <row r="975"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</row>
    <row r="976"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</row>
    <row r="977"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</row>
    <row r="978"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</row>
    <row r="979"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</row>
    <row r="980"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</row>
    <row r="981"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</row>
    <row r="982"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</row>
    <row r="983"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</row>
    <row r="984"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</row>
    <row r="985"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</row>
    <row r="986"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</row>
    <row r="987"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</row>
    <row r="988"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</row>
    <row r="989"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</row>
    <row r="990"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</row>
    <row r="991"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</row>
    <row r="992"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</row>
    <row r="993"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</row>
    <row r="994"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</row>
    <row r="995"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</row>
    <row r="996"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</row>
    <row r="997"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</row>
    <row r="998"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</row>
    <row r="999"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</row>
    <row r="1000"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</row>
    <row r="1001"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</row>
    <row r="1002"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</row>
    <row r="1003"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</row>
    <row r="1004"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</row>
    <row r="1005"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</row>
    <row r="1006"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</row>
    <row r="1007"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</row>
    <row r="1008"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</row>
    <row r="1009"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</row>
    <row r="1010"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</row>
    <row r="1011"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</row>
    <row r="1012"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</row>
    <row r="1013"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</row>
    <row r="1014"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</row>
    <row r="1015"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</row>
    <row r="1016"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</row>
    <row r="1017"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</row>
  </sheetData>
  <mergeCells count="20">
    <mergeCell ref="D1:W3"/>
    <mergeCell ref="AT1:AZ3"/>
    <mergeCell ref="BB1:BW3"/>
    <mergeCell ref="X2:X3"/>
    <mergeCell ref="AS2:AS3"/>
    <mergeCell ref="BA2:BA3"/>
    <mergeCell ref="BX2:BX3"/>
    <mergeCell ref="E45:AS45"/>
    <mergeCell ref="E46:AS46"/>
    <mergeCell ref="E47:AS47"/>
    <mergeCell ref="E48:AS48"/>
    <mergeCell ref="E49:AS49"/>
    <mergeCell ref="E50:AS50"/>
    <mergeCell ref="Y1:AR3"/>
    <mergeCell ref="E39:AS39"/>
    <mergeCell ref="E40:AS40"/>
    <mergeCell ref="E41:AS41"/>
    <mergeCell ref="E42:AS42"/>
    <mergeCell ref="E43:AS43"/>
    <mergeCell ref="E44:AS44"/>
  </mergeCells>
  <conditionalFormatting sqref="D5:D38 E5:J45 K5:K41 L5:AE45 AF5:AF41 AG5:BE45 BF5:BW38 BX21 D40:D41">
    <cfRule type="cellIs" dxfId="3" priority="1" operator="equal">
      <formula>"P"</formula>
    </cfRule>
  </conditionalFormatting>
  <conditionalFormatting sqref="D5:D38 E5:J45 K5:K41 L5:AE45 AF5:AF41 AG5:BE45 BF5:BW38 BX21 D40:D41">
    <cfRule type="cellIs" dxfId="4" priority="2" operator="equal">
      <formula>"F"</formula>
    </cfRule>
  </conditionalFormatting>
  <dataValidations>
    <dataValidation type="list" allowBlank="1" showDropDown="1" sqref="AF6 H5:H9 L5:M9 P5:R9 AF8:AF9 AF11:AF18 AF20 AF22 AF24:AF25 H11:H26 L11:M26 P11:R26 H28 L28:M28 P28:R28 AF28 P29 L30:M32 P30:R32 AF30:AF32 P33 H30:H34 L34:M34 P34:R34 AF34:AF35">
      <formula1>"-,P,F"</formula1>
    </dataValidation>
    <dataValidation type="custom" allowBlank="1" showDropDown="1" sqref="B7 C8 B16:B18 B28:B29">
      <formula1>OR(NOT(ISERROR(DATEVALUE(B7))), AND(ISNUMBER(B7), LEFT(CELL("format", B7))="D"))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3"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1" max="1" width="4.0"/>
    <col customWidth="1" min="2" max="2" width="36.0"/>
    <col customWidth="1" min="4" max="23" width="2.63"/>
    <col customWidth="1" min="24" max="24" width="7.75"/>
    <col customWidth="1" min="25" max="44" width="2.63"/>
    <col customWidth="1" min="45" max="45" width="7.13"/>
    <col customWidth="1" min="46" max="52" width="2.63"/>
    <col customWidth="1" min="53" max="53" width="7.25"/>
    <col customWidth="1" min="54" max="75" width="2.63"/>
    <col customWidth="1" min="76" max="76" width="8.25"/>
    <col customWidth="1" min="77" max="94" width="2.63"/>
  </cols>
  <sheetData>
    <row r="1">
      <c r="A1" s="1" t="s">
        <v>0</v>
      </c>
      <c r="B1" s="1"/>
      <c r="C1" s="10"/>
      <c r="D1" s="2" t="s">
        <v>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 t="s">
        <v>2</v>
      </c>
      <c r="Y1" s="2" t="s">
        <v>7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4"/>
      <c r="AS1" s="5" t="s">
        <v>2</v>
      </c>
      <c r="AT1" s="2" t="s">
        <v>8</v>
      </c>
      <c r="AU1" s="3"/>
      <c r="AV1" s="3"/>
      <c r="AW1" s="3"/>
      <c r="AX1" s="3"/>
      <c r="AY1" s="3"/>
      <c r="AZ1" s="4"/>
      <c r="BA1" s="5" t="s">
        <v>2</v>
      </c>
      <c r="BB1" s="2" t="s">
        <v>9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4"/>
      <c r="BX1" s="5" t="s">
        <v>2</v>
      </c>
    </row>
    <row r="2">
      <c r="C2" s="6"/>
      <c r="D2" s="7"/>
      <c r="W2" s="8"/>
      <c r="X2" s="9">
        <f>COUNT(D4:Q4)</f>
        <v>14</v>
      </c>
      <c r="Y2" s="7"/>
      <c r="AR2" s="8"/>
      <c r="AS2" s="9">
        <f>COUNT(Y4:AR4)</f>
        <v>20</v>
      </c>
      <c r="AT2" s="7"/>
      <c r="AZ2" s="8"/>
      <c r="BA2" s="9">
        <f>COUNT(AT4:AZ4)</f>
        <v>7</v>
      </c>
      <c r="BB2" s="7"/>
      <c r="BW2" s="8"/>
      <c r="BX2" s="9">
        <f>COUNT(BB4:BQ4)</f>
        <v>16</v>
      </c>
    </row>
    <row r="3">
      <c r="C3" s="6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4"/>
      <c r="X3" s="15"/>
      <c r="Y3" s="12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4"/>
      <c r="AS3" s="15"/>
      <c r="AT3" s="12"/>
      <c r="AU3" s="13"/>
      <c r="AV3" s="13"/>
      <c r="AW3" s="13"/>
      <c r="AX3" s="13"/>
      <c r="AY3" s="13"/>
      <c r="AZ3" s="14"/>
      <c r="BA3" s="15"/>
      <c r="BB3" s="12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4"/>
      <c r="BX3" s="15"/>
    </row>
    <row r="4">
      <c r="A4" s="16" t="s">
        <v>10</v>
      </c>
      <c r="B4" s="17" t="s">
        <v>11</v>
      </c>
      <c r="C4" s="16" t="s">
        <v>14</v>
      </c>
      <c r="D4" s="18">
        <v>4.0</v>
      </c>
      <c r="E4" s="18">
        <v>5.0</v>
      </c>
      <c r="F4" s="18">
        <v>6.0</v>
      </c>
      <c r="G4" s="18">
        <v>7.0</v>
      </c>
      <c r="H4" s="18">
        <v>8.0</v>
      </c>
      <c r="I4" s="18">
        <v>11.0</v>
      </c>
      <c r="J4" s="18">
        <v>12.0</v>
      </c>
      <c r="K4" s="18">
        <v>13.0</v>
      </c>
      <c r="L4" s="18">
        <v>14.0</v>
      </c>
      <c r="M4" s="18">
        <v>15.0</v>
      </c>
      <c r="N4" s="18">
        <v>18.0</v>
      </c>
      <c r="O4" s="18">
        <v>19.0</v>
      </c>
      <c r="P4" s="18">
        <v>20.0</v>
      </c>
      <c r="Q4" s="18">
        <v>21.0</v>
      </c>
      <c r="R4" s="18">
        <v>22.0</v>
      </c>
      <c r="S4" s="18">
        <v>25.0</v>
      </c>
      <c r="T4" s="18">
        <v>26.0</v>
      </c>
      <c r="U4" s="18">
        <v>27.0</v>
      </c>
      <c r="V4" s="18">
        <v>28.0</v>
      </c>
      <c r="W4" s="18">
        <v>29.0</v>
      </c>
      <c r="X4" s="19" t="s">
        <v>13</v>
      </c>
      <c r="Y4" s="18">
        <v>1.0</v>
      </c>
      <c r="Z4" s="18">
        <v>2.0</v>
      </c>
      <c r="AA4" s="18">
        <v>3.0</v>
      </c>
      <c r="AB4" s="18">
        <v>8.0</v>
      </c>
      <c r="AC4" s="18">
        <v>9.0</v>
      </c>
      <c r="AD4" s="18">
        <v>10.0</v>
      </c>
      <c r="AE4" s="18">
        <v>11.0</v>
      </c>
      <c r="AF4" s="18">
        <v>12.0</v>
      </c>
      <c r="AG4" s="18">
        <v>15.0</v>
      </c>
      <c r="AH4" s="18">
        <v>16.0</v>
      </c>
      <c r="AI4" s="18">
        <v>17.0</v>
      </c>
      <c r="AJ4" s="18">
        <v>18.0</v>
      </c>
      <c r="AK4" s="18">
        <v>19.0</v>
      </c>
      <c r="AL4" s="18">
        <v>22.0</v>
      </c>
      <c r="AM4" s="18">
        <v>23.0</v>
      </c>
      <c r="AN4" s="18">
        <v>24.0</v>
      </c>
      <c r="AO4" s="18">
        <v>25.0</v>
      </c>
      <c r="AP4" s="18">
        <v>26.0</v>
      </c>
      <c r="AQ4" s="18">
        <v>29.0</v>
      </c>
      <c r="AR4" s="18">
        <v>30.0</v>
      </c>
      <c r="AS4" s="19" t="s">
        <v>13</v>
      </c>
      <c r="AT4" s="18">
        <v>1.0</v>
      </c>
      <c r="AU4" s="18">
        <v>2.0</v>
      </c>
      <c r="AV4" s="18">
        <v>3.0</v>
      </c>
      <c r="AW4" s="18">
        <v>28.0</v>
      </c>
      <c r="AX4" s="18">
        <v>29.0</v>
      </c>
      <c r="AY4" s="18">
        <v>30.0</v>
      </c>
      <c r="AZ4" s="18">
        <v>31.0</v>
      </c>
      <c r="BA4" s="19" t="s">
        <v>13</v>
      </c>
      <c r="BB4" s="18">
        <v>3.0</v>
      </c>
      <c r="BC4" s="18">
        <v>4.0</v>
      </c>
      <c r="BD4" s="18">
        <v>5.0</v>
      </c>
      <c r="BE4" s="18">
        <v>6.0</v>
      </c>
      <c r="BF4" s="18">
        <v>7.0</v>
      </c>
      <c r="BG4" s="18">
        <v>10.0</v>
      </c>
      <c r="BH4" s="18">
        <v>11.0</v>
      </c>
      <c r="BI4" s="18">
        <v>12.0</v>
      </c>
      <c r="BJ4" s="18">
        <v>13.0</v>
      </c>
      <c r="BK4" s="18">
        <v>14.0</v>
      </c>
      <c r="BL4" s="18">
        <v>17.0</v>
      </c>
      <c r="BM4" s="18">
        <v>18.0</v>
      </c>
      <c r="BN4" s="18">
        <v>19.0</v>
      </c>
      <c r="BO4" s="18">
        <v>20.0</v>
      </c>
      <c r="BP4" s="18">
        <v>21.0</v>
      </c>
      <c r="BQ4" s="18">
        <v>22.0</v>
      </c>
      <c r="BR4" s="18">
        <v>24.0</v>
      </c>
      <c r="BS4" s="18">
        <v>25.0</v>
      </c>
      <c r="BT4" s="18">
        <v>26.0</v>
      </c>
      <c r="BU4" s="18">
        <v>27.0</v>
      </c>
      <c r="BV4" s="18">
        <v>28.0</v>
      </c>
      <c r="BW4" s="18">
        <v>31.0</v>
      </c>
      <c r="BX4" s="19" t="s">
        <v>13</v>
      </c>
    </row>
    <row r="5">
      <c r="A5" s="277">
        <v>1.0</v>
      </c>
      <c r="B5" s="55"/>
      <c r="C5" s="56"/>
      <c r="D5" s="161" t="s">
        <v>15</v>
      </c>
      <c r="E5" s="161" t="s">
        <v>15</v>
      </c>
      <c r="F5" s="161" t="s">
        <v>15</v>
      </c>
      <c r="G5" s="16" t="s">
        <v>15</v>
      </c>
      <c r="H5" s="16" t="s">
        <v>15</v>
      </c>
      <c r="I5" s="16" t="s">
        <v>15</v>
      </c>
      <c r="J5" s="16" t="s">
        <v>15</v>
      </c>
      <c r="K5" s="16" t="s">
        <v>15</v>
      </c>
      <c r="L5" s="16" t="s">
        <v>15</v>
      </c>
      <c r="M5" s="16" t="s">
        <v>15</v>
      </c>
      <c r="N5" s="16" t="s">
        <v>15</v>
      </c>
      <c r="O5" s="16" t="s">
        <v>15</v>
      </c>
      <c r="P5" s="16" t="s">
        <v>15</v>
      </c>
      <c r="Q5" s="16" t="s">
        <v>15</v>
      </c>
      <c r="R5" s="16" t="s">
        <v>15</v>
      </c>
      <c r="S5" s="16" t="s">
        <v>15</v>
      </c>
      <c r="T5" s="16" t="s">
        <v>15</v>
      </c>
      <c r="U5" s="16" t="s">
        <v>15</v>
      </c>
      <c r="V5" s="16" t="s">
        <v>15</v>
      </c>
      <c r="W5" s="16" t="s">
        <v>15</v>
      </c>
      <c r="X5" s="22">
        <f t="shared" ref="X5:X39" si="1">IFERROR(COUNTIF(D5:W5,"P")/(COUNTIF(D5:W5,"P")+COUNTIF(D5:W5,"F")), "0,00%")</f>
        <v>1</v>
      </c>
      <c r="Y5" s="16" t="s">
        <v>15</v>
      </c>
      <c r="Z5" s="16" t="s">
        <v>15</v>
      </c>
      <c r="AA5" s="16" t="s">
        <v>15</v>
      </c>
      <c r="AB5" s="16" t="s">
        <v>15</v>
      </c>
      <c r="AC5" s="16" t="s">
        <v>15</v>
      </c>
      <c r="AD5" s="16" t="s">
        <v>15</v>
      </c>
      <c r="AE5" s="16" t="s">
        <v>15</v>
      </c>
      <c r="AF5" s="16" t="s">
        <v>15</v>
      </c>
      <c r="AG5" s="59" t="s">
        <v>15</v>
      </c>
      <c r="AH5" s="39" t="s">
        <v>15</v>
      </c>
      <c r="AI5" s="16" t="s">
        <v>15</v>
      </c>
      <c r="AJ5" s="16" t="s">
        <v>15</v>
      </c>
      <c r="AK5" s="16" t="s">
        <v>15</v>
      </c>
      <c r="AL5" s="16" t="s">
        <v>15</v>
      </c>
      <c r="AM5" s="16" t="s">
        <v>15</v>
      </c>
      <c r="AN5" s="16" t="s">
        <v>15</v>
      </c>
      <c r="AO5" s="16" t="s">
        <v>15</v>
      </c>
      <c r="AP5" s="16" t="s">
        <v>15</v>
      </c>
      <c r="AQ5" s="16" t="s">
        <v>15</v>
      </c>
      <c r="AR5" s="16" t="s">
        <v>15</v>
      </c>
      <c r="AS5" s="22">
        <f t="shared" ref="AS5:AS39" si="2">IFERROR(COUNTIF(Y5:AR5,"P")/(COUNTIF(Y5:AR5,"P")+COUNTIF(Y5:AR5,"F")), "0,00%")</f>
        <v>1</v>
      </c>
      <c r="AT5" s="16" t="s">
        <v>15</v>
      </c>
      <c r="AU5" s="16" t="s">
        <v>15</v>
      </c>
      <c r="AV5" s="16" t="s">
        <v>15</v>
      </c>
      <c r="AW5" s="16" t="s">
        <v>15</v>
      </c>
      <c r="AX5" s="16" t="s">
        <v>15</v>
      </c>
      <c r="AY5" s="16" t="s">
        <v>15</v>
      </c>
      <c r="AZ5" s="16" t="s">
        <v>15</v>
      </c>
      <c r="BA5" s="22">
        <f t="shared" ref="BA5:BA12" si="3">IFERROR(COUNTIF(AT5:AZ5,"P")/(COUNTIF(AT5:AZ5,"P")+COUNTIF(AT5:AZ5,"F")), "0,00%")</f>
        <v>1</v>
      </c>
      <c r="BB5" s="261" t="s">
        <v>15</v>
      </c>
      <c r="BC5" s="16" t="s">
        <v>15</v>
      </c>
      <c r="BD5" s="261" t="s">
        <v>15</v>
      </c>
      <c r="BE5" s="261" t="s">
        <v>15</v>
      </c>
      <c r="BF5" s="261" t="s">
        <v>16</v>
      </c>
      <c r="BG5" s="16" t="s">
        <v>15</v>
      </c>
      <c r="BH5" s="16" t="s">
        <v>15</v>
      </c>
      <c r="BI5" s="16" t="s">
        <v>15</v>
      </c>
      <c r="BJ5" s="16" t="s">
        <v>15</v>
      </c>
      <c r="BK5" s="16" t="s">
        <v>15</v>
      </c>
      <c r="BL5" s="16" t="s">
        <v>15</v>
      </c>
      <c r="BM5" s="16" t="s">
        <v>15</v>
      </c>
      <c r="BN5" s="261" t="s">
        <v>15</v>
      </c>
      <c r="BO5" s="261" t="s">
        <v>15</v>
      </c>
      <c r="BP5" s="16" t="s">
        <v>15</v>
      </c>
      <c r="BQ5" s="59" t="s">
        <v>15</v>
      </c>
      <c r="BR5" s="61" t="s">
        <v>15</v>
      </c>
      <c r="BS5" s="59" t="s">
        <v>15</v>
      </c>
      <c r="BT5" s="261" t="s">
        <v>15</v>
      </c>
      <c r="BU5" s="16" t="s">
        <v>15</v>
      </c>
      <c r="BV5" s="16" t="s">
        <v>15</v>
      </c>
      <c r="BW5" s="16" t="s">
        <v>15</v>
      </c>
      <c r="BX5" s="22">
        <f t="shared" ref="BX5:BX12" si="4">IFERROR(COUNTIF(BB5:BW5,"P")/(COUNTIF(BB5:BW5,"P")+COUNTIF(BB5:BW5,"F")), "0,00%")</f>
        <v>0.9545454545</v>
      </c>
    </row>
    <row r="6">
      <c r="A6" s="277">
        <v>2.0</v>
      </c>
      <c r="B6" s="46"/>
      <c r="C6" s="37" t="s">
        <v>41</v>
      </c>
      <c r="D6" s="161" t="s">
        <v>15</v>
      </c>
      <c r="E6" s="161" t="s">
        <v>15</v>
      </c>
      <c r="F6" s="161" t="s">
        <v>15</v>
      </c>
      <c r="G6" s="16" t="s">
        <v>16</v>
      </c>
      <c r="H6" s="16" t="s">
        <v>15</v>
      </c>
      <c r="I6" s="16" t="s">
        <v>15</v>
      </c>
      <c r="J6" s="16" t="s">
        <v>15</v>
      </c>
      <c r="K6" s="16" t="s">
        <v>15</v>
      </c>
      <c r="L6" s="16" t="s">
        <v>15</v>
      </c>
      <c r="M6" s="16" t="s">
        <v>15</v>
      </c>
      <c r="N6" s="16" t="s">
        <v>15</v>
      </c>
      <c r="O6" s="16" t="s">
        <v>16</v>
      </c>
      <c r="P6" s="16" t="s">
        <v>16</v>
      </c>
      <c r="Q6" s="16" t="s">
        <v>15</v>
      </c>
      <c r="R6" s="16" t="s">
        <v>15</v>
      </c>
      <c r="S6" s="16" t="s">
        <v>15</v>
      </c>
      <c r="T6" s="16" t="s">
        <v>15</v>
      </c>
      <c r="U6" s="16" t="s">
        <v>15</v>
      </c>
      <c r="V6" s="16" t="s">
        <v>16</v>
      </c>
      <c r="W6" s="16" t="s">
        <v>15</v>
      </c>
      <c r="X6" s="22">
        <f t="shared" si="1"/>
        <v>0.8</v>
      </c>
      <c r="Y6" s="16" t="s">
        <v>15</v>
      </c>
      <c r="Z6" s="16" t="s">
        <v>15</v>
      </c>
      <c r="AA6" s="16" t="s">
        <v>15</v>
      </c>
      <c r="AB6" s="16" t="s">
        <v>15</v>
      </c>
      <c r="AC6" s="16" t="s">
        <v>15</v>
      </c>
      <c r="AD6" s="16" t="s">
        <v>15</v>
      </c>
      <c r="AE6" s="16" t="s">
        <v>16</v>
      </c>
      <c r="AF6" s="16" t="s">
        <v>15</v>
      </c>
      <c r="AG6" s="59" t="s">
        <v>15</v>
      </c>
      <c r="AH6" s="59" t="s">
        <v>16</v>
      </c>
      <c r="AI6" s="16" t="s">
        <v>15</v>
      </c>
      <c r="AJ6" s="16" t="s">
        <v>15</v>
      </c>
      <c r="AK6" s="16" t="s">
        <v>15</v>
      </c>
      <c r="AL6" s="16" t="s">
        <v>15</v>
      </c>
      <c r="AM6" s="16" t="s">
        <v>16</v>
      </c>
      <c r="AN6" s="16" t="s">
        <v>16</v>
      </c>
      <c r="AO6" s="16" t="s">
        <v>15</v>
      </c>
      <c r="AP6" s="16" t="s">
        <v>15</v>
      </c>
      <c r="AQ6" s="16" t="s">
        <v>16</v>
      </c>
      <c r="AR6" s="16" t="s">
        <v>15</v>
      </c>
      <c r="AS6" s="22">
        <f t="shared" si="2"/>
        <v>0.75</v>
      </c>
      <c r="AT6" s="16" t="s">
        <v>15</v>
      </c>
      <c r="AU6" s="16" t="s">
        <v>16</v>
      </c>
      <c r="AV6" s="16" t="s">
        <v>15</v>
      </c>
      <c r="AW6" s="16" t="s">
        <v>16</v>
      </c>
      <c r="AX6" s="16" t="s">
        <v>15</v>
      </c>
      <c r="AY6" s="16" t="s">
        <v>15</v>
      </c>
      <c r="AZ6" s="16" t="s">
        <v>15</v>
      </c>
      <c r="BA6" s="22">
        <f t="shared" si="3"/>
        <v>0.7142857143</v>
      </c>
      <c r="BB6" s="261" t="s">
        <v>15</v>
      </c>
      <c r="BC6" s="16" t="s">
        <v>15</v>
      </c>
      <c r="BD6" s="261" t="s">
        <v>15</v>
      </c>
      <c r="BE6" s="261" t="s">
        <v>16</v>
      </c>
      <c r="BF6" s="261" t="s">
        <v>16</v>
      </c>
      <c r="BG6" s="16" t="s">
        <v>15</v>
      </c>
      <c r="BH6" s="16" t="s">
        <v>16</v>
      </c>
      <c r="BI6" s="16" t="s">
        <v>15</v>
      </c>
      <c r="BJ6" s="16" t="s">
        <v>15</v>
      </c>
      <c r="BK6" s="16" t="s">
        <v>15</v>
      </c>
      <c r="BL6" s="16" t="s">
        <v>15</v>
      </c>
      <c r="BM6" s="16" t="s">
        <v>15</v>
      </c>
      <c r="BN6" s="261" t="s">
        <v>15</v>
      </c>
      <c r="BO6" s="261" t="s">
        <v>16</v>
      </c>
      <c r="BP6" s="16" t="s">
        <v>15</v>
      </c>
      <c r="BQ6" s="59" t="s">
        <v>15</v>
      </c>
      <c r="BR6" s="124" t="s">
        <v>15</v>
      </c>
      <c r="BS6" s="59" t="s">
        <v>16</v>
      </c>
      <c r="BT6" s="261" t="s">
        <v>15</v>
      </c>
      <c r="BU6" s="16" t="s">
        <v>15</v>
      </c>
      <c r="BV6" s="16" t="s">
        <v>16</v>
      </c>
      <c r="BW6" s="16" t="s">
        <v>15</v>
      </c>
      <c r="BX6" s="22">
        <f t="shared" si="4"/>
        <v>0.7272727273</v>
      </c>
    </row>
    <row r="7">
      <c r="A7" s="277">
        <v>3.0</v>
      </c>
      <c r="B7" s="57"/>
      <c r="C7" s="79"/>
      <c r="D7" s="161" t="s">
        <v>15</v>
      </c>
      <c r="E7" s="161" t="s">
        <v>15</v>
      </c>
      <c r="F7" s="161" t="s">
        <v>15</v>
      </c>
      <c r="G7" s="16" t="s">
        <v>15</v>
      </c>
      <c r="H7" s="16" t="s">
        <v>15</v>
      </c>
      <c r="I7" s="16" t="s">
        <v>15</v>
      </c>
      <c r="J7" s="16" t="s">
        <v>15</v>
      </c>
      <c r="K7" s="16" t="s">
        <v>16</v>
      </c>
      <c r="L7" s="16" t="s">
        <v>15</v>
      </c>
      <c r="M7" s="16" t="s">
        <v>15</v>
      </c>
      <c r="N7" s="16" t="s">
        <v>15</v>
      </c>
      <c r="O7" s="16" t="s">
        <v>15</v>
      </c>
      <c r="P7" s="16" t="s">
        <v>15</v>
      </c>
      <c r="Q7" s="16" t="s">
        <v>16</v>
      </c>
      <c r="R7" s="16" t="s">
        <v>16</v>
      </c>
      <c r="S7" s="16" t="s">
        <v>15</v>
      </c>
      <c r="T7" s="16" t="s">
        <v>15</v>
      </c>
      <c r="U7" s="16" t="s">
        <v>15</v>
      </c>
      <c r="V7" s="16" t="s">
        <v>16</v>
      </c>
      <c r="W7" s="16" t="s">
        <v>15</v>
      </c>
      <c r="X7" s="22">
        <f t="shared" si="1"/>
        <v>0.8</v>
      </c>
      <c r="Y7" s="16" t="s">
        <v>15</v>
      </c>
      <c r="Z7" s="16" t="s">
        <v>15</v>
      </c>
      <c r="AA7" s="16" t="s">
        <v>15</v>
      </c>
      <c r="AB7" s="16" t="s">
        <v>15</v>
      </c>
      <c r="AC7" s="16" t="s">
        <v>15</v>
      </c>
      <c r="AD7" s="16" t="s">
        <v>16</v>
      </c>
      <c r="AE7" s="16" t="s">
        <v>16</v>
      </c>
      <c r="AF7" s="16" t="s">
        <v>15</v>
      </c>
      <c r="AG7" s="59" t="s">
        <v>15</v>
      </c>
      <c r="AH7" s="39" t="s">
        <v>15</v>
      </c>
      <c r="AI7" s="16" t="s">
        <v>15</v>
      </c>
      <c r="AJ7" s="16" t="s">
        <v>15</v>
      </c>
      <c r="AK7" s="16" t="s">
        <v>16</v>
      </c>
      <c r="AL7" s="16" t="s">
        <v>15</v>
      </c>
      <c r="AM7" s="16" t="s">
        <v>15</v>
      </c>
      <c r="AN7" s="16" t="s">
        <v>16</v>
      </c>
      <c r="AO7" s="16" t="s">
        <v>15</v>
      </c>
      <c r="AP7" s="16" t="s">
        <v>15</v>
      </c>
      <c r="AQ7" s="16" t="s">
        <v>15</v>
      </c>
      <c r="AR7" s="16" t="s">
        <v>16</v>
      </c>
      <c r="AS7" s="22">
        <f t="shared" si="2"/>
        <v>0.75</v>
      </c>
      <c r="AT7" s="16" t="s">
        <v>15</v>
      </c>
      <c r="AU7" s="16" t="s">
        <v>15</v>
      </c>
      <c r="AV7" s="16" t="s">
        <v>15</v>
      </c>
      <c r="AW7" s="16" t="s">
        <v>15</v>
      </c>
      <c r="AX7" s="16" t="s">
        <v>15</v>
      </c>
      <c r="AY7" s="16" t="s">
        <v>15</v>
      </c>
      <c r="AZ7" s="16" t="s">
        <v>15</v>
      </c>
      <c r="BA7" s="22">
        <f t="shared" si="3"/>
        <v>1</v>
      </c>
      <c r="BB7" s="261" t="s">
        <v>15</v>
      </c>
      <c r="BC7" s="16" t="s">
        <v>15</v>
      </c>
      <c r="BD7" s="261" t="s">
        <v>16</v>
      </c>
      <c r="BE7" s="261" t="s">
        <v>15</v>
      </c>
      <c r="BF7" s="261" t="s">
        <v>16</v>
      </c>
      <c r="BG7" s="16" t="s">
        <v>15</v>
      </c>
      <c r="BH7" s="16" t="s">
        <v>16</v>
      </c>
      <c r="BI7" s="16" t="s">
        <v>15</v>
      </c>
      <c r="BJ7" s="16" t="s">
        <v>15</v>
      </c>
      <c r="BK7" s="16" t="s">
        <v>15</v>
      </c>
      <c r="BL7" s="16" t="s">
        <v>16</v>
      </c>
      <c r="BM7" s="16" t="s">
        <v>16</v>
      </c>
      <c r="BN7" s="261" t="s">
        <v>15</v>
      </c>
      <c r="BO7" s="261" t="s">
        <v>15</v>
      </c>
      <c r="BP7" s="16" t="s">
        <v>15</v>
      </c>
      <c r="BQ7" s="59" t="s">
        <v>15</v>
      </c>
      <c r="BR7" s="124" t="s">
        <v>15</v>
      </c>
      <c r="BS7" s="59" t="s">
        <v>16</v>
      </c>
      <c r="BT7" s="261" t="s">
        <v>15</v>
      </c>
      <c r="BU7" s="16" t="s">
        <v>15</v>
      </c>
      <c r="BV7" s="16" t="s">
        <v>16</v>
      </c>
      <c r="BW7" s="16" t="s">
        <v>15</v>
      </c>
      <c r="BX7" s="22">
        <f t="shared" si="4"/>
        <v>0.6818181818</v>
      </c>
    </row>
    <row r="8">
      <c r="A8" s="277">
        <v>4.0</v>
      </c>
      <c r="B8" s="46"/>
      <c r="C8" s="79"/>
      <c r="D8" s="161" t="s">
        <v>15</v>
      </c>
      <c r="E8" s="161" t="s">
        <v>15</v>
      </c>
      <c r="F8" s="161" t="s">
        <v>15</v>
      </c>
      <c r="G8" s="16" t="s">
        <v>16</v>
      </c>
      <c r="H8" s="16" t="s">
        <v>16</v>
      </c>
      <c r="I8" s="16" t="s">
        <v>15</v>
      </c>
      <c r="J8" s="16" t="s">
        <v>15</v>
      </c>
      <c r="K8" s="16" t="s">
        <v>15</v>
      </c>
      <c r="L8" s="16" t="s">
        <v>15</v>
      </c>
      <c r="M8" s="16" t="s">
        <v>15</v>
      </c>
      <c r="N8" s="16" t="s">
        <v>15</v>
      </c>
      <c r="O8" s="16" t="s">
        <v>15</v>
      </c>
      <c r="P8" s="16" t="s">
        <v>15</v>
      </c>
      <c r="Q8" s="16" t="s">
        <v>15</v>
      </c>
      <c r="R8" s="16" t="s">
        <v>15</v>
      </c>
      <c r="S8" s="16" t="s">
        <v>15</v>
      </c>
      <c r="T8" s="16" t="s">
        <v>15</v>
      </c>
      <c r="U8" s="16" t="s">
        <v>15</v>
      </c>
      <c r="V8" s="16" t="s">
        <v>15</v>
      </c>
      <c r="W8" s="16" t="s">
        <v>15</v>
      </c>
      <c r="X8" s="22">
        <f t="shared" si="1"/>
        <v>0.9</v>
      </c>
      <c r="Y8" s="16" t="s">
        <v>15</v>
      </c>
      <c r="Z8" s="16" t="s">
        <v>15</v>
      </c>
      <c r="AA8" s="16" t="s">
        <v>15</v>
      </c>
      <c r="AB8" s="16" t="s">
        <v>15</v>
      </c>
      <c r="AC8" s="16" t="s">
        <v>15</v>
      </c>
      <c r="AD8" s="16" t="s">
        <v>15</v>
      </c>
      <c r="AE8" s="16" t="s">
        <v>15</v>
      </c>
      <c r="AF8" s="16" t="s">
        <v>15</v>
      </c>
      <c r="AG8" s="59" t="s">
        <v>15</v>
      </c>
      <c r="AH8" s="39" t="s">
        <v>15</v>
      </c>
      <c r="AI8" s="16" t="s">
        <v>15</v>
      </c>
      <c r="AJ8" s="16" t="s">
        <v>15</v>
      </c>
      <c r="AK8" s="16" t="s">
        <v>15</v>
      </c>
      <c r="AL8" s="16" t="s">
        <v>15</v>
      </c>
      <c r="AM8" s="16" t="s">
        <v>15</v>
      </c>
      <c r="AN8" s="16" t="s">
        <v>16</v>
      </c>
      <c r="AO8" s="16" t="s">
        <v>15</v>
      </c>
      <c r="AP8" s="16" t="s">
        <v>15</v>
      </c>
      <c r="AQ8" s="16" t="s">
        <v>15</v>
      </c>
      <c r="AR8" s="16" t="s">
        <v>15</v>
      </c>
      <c r="AS8" s="22">
        <f t="shared" si="2"/>
        <v>0.95</v>
      </c>
      <c r="AT8" s="16" t="s">
        <v>15</v>
      </c>
      <c r="AU8" s="16" t="s">
        <v>15</v>
      </c>
      <c r="AV8" s="16" t="s">
        <v>15</v>
      </c>
      <c r="AW8" s="16" t="s">
        <v>15</v>
      </c>
      <c r="AX8" s="16" t="s">
        <v>15</v>
      </c>
      <c r="AY8" s="16" t="s">
        <v>15</v>
      </c>
      <c r="AZ8" s="16" t="s">
        <v>15</v>
      </c>
      <c r="BA8" s="22">
        <f t="shared" si="3"/>
        <v>1</v>
      </c>
      <c r="BB8" s="261" t="s">
        <v>16</v>
      </c>
      <c r="BC8" s="16" t="s">
        <v>15</v>
      </c>
      <c r="BD8" s="261" t="s">
        <v>15</v>
      </c>
      <c r="BE8" s="261" t="s">
        <v>15</v>
      </c>
      <c r="BF8" s="261" t="s">
        <v>16</v>
      </c>
      <c r="BG8" s="16" t="s">
        <v>15</v>
      </c>
      <c r="BH8" s="16" t="s">
        <v>15</v>
      </c>
      <c r="BI8" s="16" t="s">
        <v>15</v>
      </c>
      <c r="BJ8" s="16" t="s">
        <v>15</v>
      </c>
      <c r="BK8" s="16" t="s">
        <v>16</v>
      </c>
      <c r="BL8" s="16" t="s">
        <v>15</v>
      </c>
      <c r="BM8" s="16" t="s">
        <v>16</v>
      </c>
      <c r="BN8" s="261" t="s">
        <v>15</v>
      </c>
      <c r="BO8" s="261" t="s">
        <v>15</v>
      </c>
      <c r="BP8" s="16" t="s">
        <v>15</v>
      </c>
      <c r="BQ8" s="59" t="s">
        <v>15</v>
      </c>
      <c r="BR8" s="124" t="s">
        <v>15</v>
      </c>
      <c r="BS8" s="59" t="s">
        <v>15</v>
      </c>
      <c r="BT8" s="261" t="s">
        <v>16</v>
      </c>
      <c r="BU8" s="16" t="s">
        <v>15</v>
      </c>
      <c r="BV8" s="16" t="s">
        <v>16</v>
      </c>
      <c r="BW8" s="16" t="s">
        <v>15</v>
      </c>
      <c r="BX8" s="22">
        <f t="shared" si="4"/>
        <v>0.7272727273</v>
      </c>
    </row>
    <row r="9">
      <c r="A9" s="277">
        <v>5.0</v>
      </c>
      <c r="B9" s="62"/>
      <c r="C9" s="112" t="s">
        <v>41</v>
      </c>
      <c r="D9" s="161" t="s">
        <v>15</v>
      </c>
      <c r="E9" s="161" t="s">
        <v>15</v>
      </c>
      <c r="F9" s="161" t="s">
        <v>15</v>
      </c>
      <c r="G9" s="16" t="s">
        <v>16</v>
      </c>
      <c r="H9" s="16" t="s">
        <v>15</v>
      </c>
      <c r="I9" s="16" t="s">
        <v>15</v>
      </c>
      <c r="J9" s="16" t="s">
        <v>15</v>
      </c>
      <c r="K9" s="16" t="s">
        <v>15</v>
      </c>
      <c r="L9" s="16" t="s">
        <v>15</v>
      </c>
      <c r="M9" s="16" t="s">
        <v>15</v>
      </c>
      <c r="N9" s="16" t="s">
        <v>15</v>
      </c>
      <c r="O9" s="16" t="s">
        <v>15</v>
      </c>
      <c r="P9" s="16" t="s">
        <v>16</v>
      </c>
      <c r="Q9" s="16" t="s">
        <v>15</v>
      </c>
      <c r="R9" s="16" t="s">
        <v>15</v>
      </c>
      <c r="S9" s="16" t="s">
        <v>15</v>
      </c>
      <c r="T9" s="59" t="s">
        <v>16</v>
      </c>
      <c r="U9" s="16" t="s">
        <v>15</v>
      </c>
      <c r="V9" s="16" t="s">
        <v>15</v>
      </c>
      <c r="W9" s="16" t="s">
        <v>15</v>
      </c>
      <c r="X9" s="22">
        <f t="shared" si="1"/>
        <v>0.85</v>
      </c>
      <c r="Y9" s="16" t="s">
        <v>15</v>
      </c>
      <c r="Z9" s="16" t="s">
        <v>15</v>
      </c>
      <c r="AA9" s="16" t="s">
        <v>15</v>
      </c>
      <c r="AB9" s="16" t="s">
        <v>15</v>
      </c>
      <c r="AC9" s="16" t="s">
        <v>15</v>
      </c>
      <c r="AD9" s="16" t="s">
        <v>15</v>
      </c>
      <c r="AE9" s="16" t="s">
        <v>15</v>
      </c>
      <c r="AF9" s="16" t="s">
        <v>15</v>
      </c>
      <c r="AG9" s="59" t="s">
        <v>15</v>
      </c>
      <c r="AH9" s="39" t="s">
        <v>15</v>
      </c>
      <c r="AI9" s="16" t="s">
        <v>15</v>
      </c>
      <c r="AJ9" s="16" t="s">
        <v>15</v>
      </c>
      <c r="AK9" s="16" t="s">
        <v>15</v>
      </c>
      <c r="AL9" s="16" t="s">
        <v>15</v>
      </c>
      <c r="AM9" s="16" t="s">
        <v>15</v>
      </c>
      <c r="AN9" s="16" t="s">
        <v>16</v>
      </c>
      <c r="AO9" s="16" t="s">
        <v>15</v>
      </c>
      <c r="AP9" s="16" t="s">
        <v>15</v>
      </c>
      <c r="AQ9" s="16" t="s">
        <v>16</v>
      </c>
      <c r="AR9" s="16" t="s">
        <v>15</v>
      </c>
      <c r="AS9" s="22">
        <f t="shared" si="2"/>
        <v>0.9</v>
      </c>
      <c r="AT9" s="16" t="s">
        <v>15</v>
      </c>
      <c r="AU9" s="16" t="s">
        <v>15</v>
      </c>
      <c r="AV9" s="16" t="s">
        <v>15</v>
      </c>
      <c r="AW9" s="16" t="s">
        <v>16</v>
      </c>
      <c r="AX9" s="16" t="s">
        <v>15</v>
      </c>
      <c r="AY9" s="16" t="s">
        <v>15</v>
      </c>
      <c r="AZ9" s="16" t="s">
        <v>15</v>
      </c>
      <c r="BA9" s="22">
        <f t="shared" si="3"/>
        <v>0.8571428571</v>
      </c>
      <c r="BB9" s="261" t="s">
        <v>15</v>
      </c>
      <c r="BC9" s="16" t="s">
        <v>15</v>
      </c>
      <c r="BD9" s="261" t="s">
        <v>15</v>
      </c>
      <c r="BE9" s="261" t="s">
        <v>15</v>
      </c>
      <c r="BF9" s="264" t="s">
        <v>15</v>
      </c>
      <c r="BG9" s="16" t="s">
        <v>15</v>
      </c>
      <c r="BH9" s="16" t="s">
        <v>15</v>
      </c>
      <c r="BI9" s="16" t="s">
        <v>15</v>
      </c>
      <c r="BJ9" s="16" t="s">
        <v>15</v>
      </c>
      <c r="BK9" s="16" t="s">
        <v>15</v>
      </c>
      <c r="BL9" s="16" t="s">
        <v>15</v>
      </c>
      <c r="BM9" s="16" t="s">
        <v>15</v>
      </c>
      <c r="BN9" s="261" t="s">
        <v>15</v>
      </c>
      <c r="BO9" s="261" t="s">
        <v>15</v>
      </c>
      <c r="BP9" s="16" t="s">
        <v>15</v>
      </c>
      <c r="BQ9" s="59" t="s">
        <v>15</v>
      </c>
      <c r="BR9" s="124" t="s">
        <v>15</v>
      </c>
      <c r="BS9" s="59" t="s">
        <v>15</v>
      </c>
      <c r="BT9" s="261" t="s">
        <v>16</v>
      </c>
      <c r="BU9" s="16" t="s">
        <v>15</v>
      </c>
      <c r="BV9" s="16" t="s">
        <v>15</v>
      </c>
      <c r="BW9" s="16" t="s">
        <v>15</v>
      </c>
      <c r="BX9" s="22">
        <f t="shared" si="4"/>
        <v>0.9545454545</v>
      </c>
    </row>
    <row r="10">
      <c r="A10" s="281">
        <v>6.0</v>
      </c>
      <c r="B10" s="92"/>
      <c r="C10" s="282" t="s">
        <v>69</v>
      </c>
      <c r="D10" s="214" t="s">
        <v>20</v>
      </c>
      <c r="E10" s="214" t="s">
        <v>20</v>
      </c>
      <c r="F10" s="214" t="s">
        <v>20</v>
      </c>
      <c r="G10" s="214" t="s">
        <v>20</v>
      </c>
      <c r="H10" s="214" t="s">
        <v>20</v>
      </c>
      <c r="I10" s="271" t="s">
        <v>20</v>
      </c>
      <c r="J10" s="214" t="s">
        <v>20</v>
      </c>
      <c r="K10" s="271" t="s">
        <v>20</v>
      </c>
      <c r="L10" s="214" t="s">
        <v>20</v>
      </c>
      <c r="M10" s="214" t="s">
        <v>20</v>
      </c>
      <c r="N10" s="214" t="s">
        <v>20</v>
      </c>
      <c r="O10" s="214" t="s">
        <v>20</v>
      </c>
      <c r="P10" s="214" t="s">
        <v>20</v>
      </c>
      <c r="Q10" s="214" t="s">
        <v>20</v>
      </c>
      <c r="R10" s="214" t="s">
        <v>20</v>
      </c>
      <c r="S10" s="214" t="s">
        <v>20</v>
      </c>
      <c r="T10" s="214" t="s">
        <v>20</v>
      </c>
      <c r="U10" s="214" t="s">
        <v>20</v>
      </c>
      <c r="V10" s="214" t="s">
        <v>20</v>
      </c>
      <c r="W10" s="214" t="s">
        <v>20</v>
      </c>
      <c r="X10" s="48" t="str">
        <f t="shared" si="1"/>
        <v>0,00%</v>
      </c>
      <c r="Y10" s="214" t="s">
        <v>20</v>
      </c>
      <c r="Z10" s="214" t="s">
        <v>20</v>
      </c>
      <c r="AA10" s="271" t="s">
        <v>20</v>
      </c>
      <c r="AB10" s="271" t="s">
        <v>20</v>
      </c>
      <c r="AC10" s="214" t="s">
        <v>20</v>
      </c>
      <c r="AD10" s="214" t="s">
        <v>20</v>
      </c>
      <c r="AE10" s="271" t="s">
        <v>20</v>
      </c>
      <c r="AF10" s="214" t="s">
        <v>20</v>
      </c>
      <c r="AG10" s="249" t="s">
        <v>20</v>
      </c>
      <c r="AH10" s="32" t="s">
        <v>20</v>
      </c>
      <c r="AI10" s="271" t="s">
        <v>20</v>
      </c>
      <c r="AJ10" s="214" t="s">
        <v>20</v>
      </c>
      <c r="AK10" s="214" t="s">
        <v>20</v>
      </c>
      <c r="AL10" s="214" t="s">
        <v>20</v>
      </c>
      <c r="AM10" s="214" t="s">
        <v>20</v>
      </c>
      <c r="AN10" s="214" t="s">
        <v>20</v>
      </c>
      <c r="AO10" s="214" t="s">
        <v>20</v>
      </c>
      <c r="AP10" s="214" t="s">
        <v>20</v>
      </c>
      <c r="AQ10" s="214" t="s">
        <v>20</v>
      </c>
      <c r="AR10" s="214" t="s">
        <v>20</v>
      </c>
      <c r="AS10" s="48" t="str">
        <f t="shared" si="2"/>
        <v>0,00%</v>
      </c>
      <c r="AT10" s="214" t="s">
        <v>20</v>
      </c>
      <c r="AU10" s="214" t="s">
        <v>20</v>
      </c>
      <c r="AV10" s="214" t="s">
        <v>20</v>
      </c>
      <c r="AW10" s="214" t="s">
        <v>20</v>
      </c>
      <c r="AX10" s="271" t="s">
        <v>20</v>
      </c>
      <c r="AY10" s="214" t="s">
        <v>20</v>
      </c>
      <c r="AZ10" s="214" t="s">
        <v>20</v>
      </c>
      <c r="BA10" s="48" t="str">
        <f t="shared" si="3"/>
        <v>0,00%</v>
      </c>
      <c r="BB10" s="274" t="s">
        <v>20</v>
      </c>
      <c r="BC10" s="214" t="s">
        <v>20</v>
      </c>
      <c r="BD10" s="274" t="s">
        <v>20</v>
      </c>
      <c r="BE10" s="274" t="s">
        <v>20</v>
      </c>
      <c r="BF10" s="214" t="s">
        <v>20</v>
      </c>
      <c r="BG10" s="214" t="s">
        <v>20</v>
      </c>
      <c r="BH10" s="214" t="s">
        <v>20</v>
      </c>
      <c r="BI10" s="214" t="s">
        <v>20</v>
      </c>
      <c r="BJ10" s="214" t="s">
        <v>20</v>
      </c>
      <c r="BK10" s="214" t="s">
        <v>20</v>
      </c>
      <c r="BL10" s="214" t="s">
        <v>20</v>
      </c>
      <c r="BM10" s="214" t="s">
        <v>20</v>
      </c>
      <c r="BN10" s="214" t="s">
        <v>20</v>
      </c>
      <c r="BO10" s="214" t="s">
        <v>20</v>
      </c>
      <c r="BP10" s="214" t="s">
        <v>20</v>
      </c>
      <c r="BQ10" s="214" t="s">
        <v>20</v>
      </c>
      <c r="BR10" s="214" t="s">
        <v>20</v>
      </c>
      <c r="BS10" s="214" t="s">
        <v>20</v>
      </c>
      <c r="BT10" s="214" t="s">
        <v>20</v>
      </c>
      <c r="BU10" s="214" t="s">
        <v>20</v>
      </c>
      <c r="BV10" s="214" t="s">
        <v>20</v>
      </c>
      <c r="BW10" s="271" t="s">
        <v>20</v>
      </c>
      <c r="BX10" s="48" t="str">
        <f t="shared" si="4"/>
        <v>0,00%</v>
      </c>
    </row>
    <row r="11">
      <c r="A11" s="277">
        <v>7.0</v>
      </c>
      <c r="B11" s="46"/>
      <c r="C11" s="112" t="s">
        <v>32</v>
      </c>
      <c r="D11" s="161" t="s">
        <v>15</v>
      </c>
      <c r="E11" s="161" t="s">
        <v>15</v>
      </c>
      <c r="F11" s="161" t="s">
        <v>15</v>
      </c>
      <c r="G11" s="16" t="s">
        <v>15</v>
      </c>
      <c r="H11" s="16" t="s">
        <v>15</v>
      </c>
      <c r="I11" s="16" t="s">
        <v>15</v>
      </c>
      <c r="J11" s="16" t="s">
        <v>15</v>
      </c>
      <c r="K11" s="16" t="s">
        <v>15</v>
      </c>
      <c r="L11" s="16" t="s">
        <v>15</v>
      </c>
      <c r="M11" s="16" t="s">
        <v>15</v>
      </c>
      <c r="N11" s="16" t="s">
        <v>15</v>
      </c>
      <c r="O11" s="16" t="s">
        <v>15</v>
      </c>
      <c r="P11" s="16" t="s">
        <v>15</v>
      </c>
      <c r="Q11" s="16" t="s">
        <v>16</v>
      </c>
      <c r="R11" s="16" t="s">
        <v>15</v>
      </c>
      <c r="S11" s="16" t="s">
        <v>15</v>
      </c>
      <c r="T11" s="16" t="s">
        <v>15</v>
      </c>
      <c r="U11" s="16" t="s">
        <v>15</v>
      </c>
      <c r="V11" s="16" t="s">
        <v>15</v>
      </c>
      <c r="W11" s="16" t="s">
        <v>15</v>
      </c>
      <c r="X11" s="22">
        <f t="shared" si="1"/>
        <v>0.95</v>
      </c>
      <c r="Y11" s="16" t="s">
        <v>15</v>
      </c>
      <c r="Z11" s="16" t="s">
        <v>15</v>
      </c>
      <c r="AA11" s="16" t="s">
        <v>15</v>
      </c>
      <c r="AB11" s="16" t="s">
        <v>15</v>
      </c>
      <c r="AC11" s="16" t="s">
        <v>15</v>
      </c>
      <c r="AD11" s="16" t="s">
        <v>15</v>
      </c>
      <c r="AE11" s="16" t="s">
        <v>15</v>
      </c>
      <c r="AF11" s="16" t="s">
        <v>15</v>
      </c>
      <c r="AG11" s="59" t="s">
        <v>15</v>
      </c>
      <c r="AH11" s="39" t="s">
        <v>15</v>
      </c>
      <c r="AI11" s="16" t="s">
        <v>15</v>
      </c>
      <c r="AJ11" s="16" t="s">
        <v>15</v>
      </c>
      <c r="AK11" s="16" t="s">
        <v>15</v>
      </c>
      <c r="AL11" s="16" t="s">
        <v>15</v>
      </c>
      <c r="AM11" s="16" t="s">
        <v>15</v>
      </c>
      <c r="AN11" s="16" t="s">
        <v>16</v>
      </c>
      <c r="AO11" s="16" t="s">
        <v>15</v>
      </c>
      <c r="AP11" s="16" t="s">
        <v>15</v>
      </c>
      <c r="AQ11" s="16" t="s">
        <v>15</v>
      </c>
      <c r="AR11" s="16" t="s">
        <v>16</v>
      </c>
      <c r="AS11" s="22">
        <f t="shared" si="2"/>
        <v>0.9</v>
      </c>
      <c r="AT11" s="16" t="s">
        <v>15</v>
      </c>
      <c r="AU11" s="16" t="s">
        <v>16</v>
      </c>
      <c r="AV11" s="16" t="s">
        <v>15</v>
      </c>
      <c r="AW11" s="16" t="s">
        <v>15</v>
      </c>
      <c r="AX11" s="16" t="s">
        <v>15</v>
      </c>
      <c r="AY11" s="16" t="s">
        <v>15</v>
      </c>
      <c r="AZ11" s="16" t="s">
        <v>15</v>
      </c>
      <c r="BA11" s="22">
        <f t="shared" si="3"/>
        <v>0.8571428571</v>
      </c>
      <c r="BB11" s="261" t="s">
        <v>15</v>
      </c>
      <c r="BC11" s="16" t="s">
        <v>15</v>
      </c>
      <c r="BD11" s="261" t="s">
        <v>15</v>
      </c>
      <c r="BE11" s="261" t="s">
        <v>15</v>
      </c>
      <c r="BF11" s="261" t="s">
        <v>16</v>
      </c>
      <c r="BG11" s="152" t="s">
        <v>15</v>
      </c>
      <c r="BH11" s="16" t="s">
        <v>15</v>
      </c>
      <c r="BI11" s="16" t="s">
        <v>15</v>
      </c>
      <c r="BJ11" s="16" t="s">
        <v>15</v>
      </c>
      <c r="BK11" s="16" t="s">
        <v>15</v>
      </c>
      <c r="BL11" s="16" t="s">
        <v>15</v>
      </c>
      <c r="BM11" s="16" t="s">
        <v>15</v>
      </c>
      <c r="BN11" s="261" t="s">
        <v>15</v>
      </c>
      <c r="BO11" s="261" t="s">
        <v>15</v>
      </c>
      <c r="BP11" s="16" t="s">
        <v>15</v>
      </c>
      <c r="BQ11" s="59" t="s">
        <v>15</v>
      </c>
      <c r="BR11" s="61" t="s">
        <v>15</v>
      </c>
      <c r="BS11" s="59" t="s">
        <v>16</v>
      </c>
      <c r="BT11" s="261" t="s">
        <v>15</v>
      </c>
      <c r="BU11" s="16" t="s">
        <v>15</v>
      </c>
      <c r="BV11" s="16" t="s">
        <v>15</v>
      </c>
      <c r="BW11" s="16" t="s">
        <v>15</v>
      </c>
      <c r="BX11" s="22">
        <f t="shared" si="4"/>
        <v>0.9090909091</v>
      </c>
    </row>
    <row r="12">
      <c r="A12" s="277">
        <v>8.0</v>
      </c>
      <c r="B12" s="57"/>
      <c r="C12" s="79"/>
      <c r="D12" s="161" t="s">
        <v>15</v>
      </c>
      <c r="E12" s="161" t="s">
        <v>15</v>
      </c>
      <c r="F12" s="161" t="s">
        <v>15</v>
      </c>
      <c r="G12" s="16" t="s">
        <v>15</v>
      </c>
      <c r="H12" s="16" t="s">
        <v>15</v>
      </c>
      <c r="I12" s="16" t="s">
        <v>15</v>
      </c>
      <c r="J12" s="16" t="s">
        <v>15</v>
      </c>
      <c r="K12" s="16" t="s">
        <v>15</v>
      </c>
      <c r="L12" s="16" t="s">
        <v>15</v>
      </c>
      <c r="M12" s="16" t="s">
        <v>15</v>
      </c>
      <c r="N12" s="16" t="s">
        <v>15</v>
      </c>
      <c r="O12" s="16" t="s">
        <v>15</v>
      </c>
      <c r="P12" s="16" t="s">
        <v>15</v>
      </c>
      <c r="Q12" s="16" t="s">
        <v>15</v>
      </c>
      <c r="R12" s="16" t="s">
        <v>15</v>
      </c>
      <c r="S12" s="16" t="s">
        <v>15</v>
      </c>
      <c r="T12" s="16" t="s">
        <v>15</v>
      </c>
      <c r="U12" s="16" t="s">
        <v>15</v>
      </c>
      <c r="V12" s="16" t="s">
        <v>15</v>
      </c>
      <c r="W12" s="16" t="s">
        <v>15</v>
      </c>
      <c r="X12" s="22">
        <f t="shared" si="1"/>
        <v>1</v>
      </c>
      <c r="Y12" s="16" t="s">
        <v>15</v>
      </c>
      <c r="Z12" s="16" t="s">
        <v>15</v>
      </c>
      <c r="AA12" s="16" t="s">
        <v>15</v>
      </c>
      <c r="AB12" s="16" t="s">
        <v>15</v>
      </c>
      <c r="AC12" s="16" t="s">
        <v>15</v>
      </c>
      <c r="AD12" s="16" t="s">
        <v>15</v>
      </c>
      <c r="AE12" s="16" t="s">
        <v>15</v>
      </c>
      <c r="AF12" s="16" t="s">
        <v>15</v>
      </c>
      <c r="AG12" s="59" t="s">
        <v>15</v>
      </c>
      <c r="AH12" s="39" t="s">
        <v>15</v>
      </c>
      <c r="AI12" s="16" t="s">
        <v>15</v>
      </c>
      <c r="AJ12" s="16" t="s">
        <v>15</v>
      </c>
      <c r="AK12" s="16" t="s">
        <v>15</v>
      </c>
      <c r="AL12" s="16" t="s">
        <v>15</v>
      </c>
      <c r="AM12" s="16" t="s">
        <v>15</v>
      </c>
      <c r="AN12" s="16" t="s">
        <v>15</v>
      </c>
      <c r="AO12" s="16" t="s">
        <v>15</v>
      </c>
      <c r="AP12" s="16" t="s">
        <v>15</v>
      </c>
      <c r="AQ12" s="16" t="s">
        <v>15</v>
      </c>
      <c r="AR12" s="16" t="s">
        <v>15</v>
      </c>
      <c r="AS12" s="22">
        <f t="shared" si="2"/>
        <v>1</v>
      </c>
      <c r="AT12" s="16" t="s">
        <v>16</v>
      </c>
      <c r="AU12" s="16" t="s">
        <v>16</v>
      </c>
      <c r="AV12" s="16" t="s">
        <v>15</v>
      </c>
      <c r="AW12" s="16" t="s">
        <v>15</v>
      </c>
      <c r="AX12" s="16" t="s">
        <v>15</v>
      </c>
      <c r="AY12" s="16" t="s">
        <v>15</v>
      </c>
      <c r="AZ12" s="16" t="s">
        <v>15</v>
      </c>
      <c r="BA12" s="22">
        <f t="shared" si="3"/>
        <v>0.7142857143</v>
      </c>
      <c r="BB12" s="261" t="s">
        <v>15</v>
      </c>
      <c r="BC12" s="16" t="s">
        <v>15</v>
      </c>
      <c r="BD12" s="261" t="s">
        <v>15</v>
      </c>
      <c r="BE12" s="261" t="s">
        <v>15</v>
      </c>
      <c r="BF12" s="261" t="s">
        <v>16</v>
      </c>
      <c r="BG12" s="152" t="s">
        <v>15</v>
      </c>
      <c r="BH12" s="16" t="s">
        <v>15</v>
      </c>
      <c r="BI12" s="16" t="s">
        <v>15</v>
      </c>
      <c r="BJ12" s="16" t="s">
        <v>15</v>
      </c>
      <c r="BK12" s="16" t="s">
        <v>15</v>
      </c>
      <c r="BL12" s="16" t="s">
        <v>15</v>
      </c>
      <c r="BM12" s="16" t="s">
        <v>15</v>
      </c>
      <c r="BN12" s="261" t="s">
        <v>15</v>
      </c>
      <c r="BO12" s="261" t="s">
        <v>15</v>
      </c>
      <c r="BP12" s="16" t="s">
        <v>15</v>
      </c>
      <c r="BQ12" s="59" t="s">
        <v>15</v>
      </c>
      <c r="BR12" s="124" t="s">
        <v>15</v>
      </c>
      <c r="BS12" s="59" t="s">
        <v>16</v>
      </c>
      <c r="BT12" s="261" t="s">
        <v>15</v>
      </c>
      <c r="BU12" s="16" t="s">
        <v>15</v>
      </c>
      <c r="BV12" s="16" t="s">
        <v>15</v>
      </c>
      <c r="BW12" s="16" t="s">
        <v>16</v>
      </c>
      <c r="BX12" s="22">
        <f t="shared" si="4"/>
        <v>0.8636363636</v>
      </c>
    </row>
    <row r="13">
      <c r="A13" s="286">
        <v>9.0</v>
      </c>
      <c r="B13" s="211"/>
      <c r="C13" s="287" t="s">
        <v>71</v>
      </c>
      <c r="D13" s="161" t="s">
        <v>15</v>
      </c>
      <c r="E13" s="161" t="s">
        <v>15</v>
      </c>
      <c r="F13" s="161" t="s">
        <v>15</v>
      </c>
      <c r="G13" s="16" t="s">
        <v>15</v>
      </c>
      <c r="H13" s="154" t="s">
        <v>15</v>
      </c>
      <c r="I13" s="154" t="s">
        <v>15</v>
      </c>
      <c r="J13" s="16" t="s">
        <v>15</v>
      </c>
      <c r="K13" s="154" t="s">
        <v>15</v>
      </c>
      <c r="L13" s="16" t="s">
        <v>15</v>
      </c>
      <c r="M13" s="16" t="s">
        <v>15</v>
      </c>
      <c r="N13" s="16" t="s">
        <v>16</v>
      </c>
      <c r="O13" s="16" t="s">
        <v>15</v>
      </c>
      <c r="P13" s="16" t="s">
        <v>16</v>
      </c>
      <c r="Q13" s="16" t="s">
        <v>16</v>
      </c>
      <c r="R13" s="16" t="s">
        <v>16</v>
      </c>
      <c r="S13" s="16" t="s">
        <v>15</v>
      </c>
      <c r="T13" s="16" t="s">
        <v>15</v>
      </c>
      <c r="U13" s="214" t="s">
        <v>20</v>
      </c>
      <c r="V13" s="214" t="s">
        <v>20</v>
      </c>
      <c r="W13" s="214" t="s">
        <v>20</v>
      </c>
      <c r="X13" s="22">
        <f t="shared" si="1"/>
        <v>0.7647058824</v>
      </c>
      <c r="Y13" s="214" t="s">
        <v>20</v>
      </c>
      <c r="Z13" s="214" t="s">
        <v>20</v>
      </c>
      <c r="AA13" s="271" t="s">
        <v>20</v>
      </c>
      <c r="AB13" s="271" t="s">
        <v>20</v>
      </c>
      <c r="AC13" s="214" t="s">
        <v>20</v>
      </c>
      <c r="AD13" s="214" t="s">
        <v>20</v>
      </c>
      <c r="AE13" s="271" t="s">
        <v>20</v>
      </c>
      <c r="AF13" s="214" t="s">
        <v>20</v>
      </c>
      <c r="AG13" s="249" t="s">
        <v>20</v>
      </c>
      <c r="AH13" s="32" t="s">
        <v>20</v>
      </c>
      <c r="AI13" s="271" t="s">
        <v>20</v>
      </c>
      <c r="AJ13" s="214" t="s">
        <v>20</v>
      </c>
      <c r="AK13" s="214" t="s">
        <v>20</v>
      </c>
      <c r="AL13" s="214" t="s">
        <v>20</v>
      </c>
      <c r="AM13" s="214" t="s">
        <v>20</v>
      </c>
      <c r="AN13" s="214" t="s">
        <v>20</v>
      </c>
      <c r="AO13" s="214" t="s">
        <v>20</v>
      </c>
      <c r="AP13" s="214" t="s">
        <v>20</v>
      </c>
      <c r="AQ13" s="214" t="s">
        <v>20</v>
      </c>
      <c r="AR13" s="214" t="s">
        <v>20</v>
      </c>
      <c r="AS13" s="48" t="str">
        <f t="shared" si="2"/>
        <v>0,00%</v>
      </c>
      <c r="AT13" s="214" t="s">
        <v>20</v>
      </c>
      <c r="AU13" s="214" t="s">
        <v>20</v>
      </c>
      <c r="AV13" s="214" t="s">
        <v>20</v>
      </c>
      <c r="AW13" s="214" t="s">
        <v>20</v>
      </c>
      <c r="AX13" s="271" t="s">
        <v>20</v>
      </c>
      <c r="AY13" s="214" t="s">
        <v>20</v>
      </c>
      <c r="AZ13" s="214" t="s">
        <v>20</v>
      </c>
      <c r="BA13" s="48" t="str">
        <f>IFERROR(COUNTIF(AH13:AZ13,"P")/(COUNTIF(AH13:AZ13,"P")+COUNTIF(AH13:AZ13,"F")), "0,00%")</f>
        <v>0,00%</v>
      </c>
      <c r="BB13" s="274" t="s">
        <v>20</v>
      </c>
      <c r="BC13" s="214" t="s">
        <v>20</v>
      </c>
      <c r="BD13" s="274" t="s">
        <v>20</v>
      </c>
      <c r="BE13" s="274" t="s">
        <v>20</v>
      </c>
      <c r="BF13" s="214" t="s">
        <v>20</v>
      </c>
      <c r="BG13" s="214" t="s">
        <v>20</v>
      </c>
      <c r="BH13" s="214" t="s">
        <v>20</v>
      </c>
      <c r="BI13" s="214" t="s">
        <v>20</v>
      </c>
      <c r="BJ13" s="214" t="s">
        <v>20</v>
      </c>
      <c r="BK13" s="214" t="s">
        <v>20</v>
      </c>
      <c r="BL13" s="271" t="s">
        <v>20</v>
      </c>
      <c r="BM13" s="214" t="s">
        <v>20</v>
      </c>
      <c r="BN13" s="274" t="s">
        <v>20</v>
      </c>
      <c r="BO13" s="274" t="s">
        <v>20</v>
      </c>
      <c r="BP13" s="274" t="s">
        <v>20</v>
      </c>
      <c r="BQ13" s="274" t="s">
        <v>20</v>
      </c>
      <c r="BR13" s="274" t="s">
        <v>20</v>
      </c>
      <c r="BS13" s="32" t="s">
        <v>20</v>
      </c>
      <c r="BT13" s="274" t="s">
        <v>20</v>
      </c>
      <c r="BU13" s="214" t="s">
        <v>20</v>
      </c>
      <c r="BV13" s="214" t="s">
        <v>20</v>
      </c>
      <c r="BW13" s="214" t="s">
        <v>20</v>
      </c>
      <c r="BX13" s="48" t="str">
        <f>IFERROR(COUNTIF(BD13:BW13,"P")/(COUNTIF(BD13:BW13,"P")+COUNTIF(BD13:BW13,"F")), "0,00%")</f>
        <v>0,00%</v>
      </c>
    </row>
    <row r="14">
      <c r="A14" s="277">
        <v>10.0</v>
      </c>
      <c r="B14" s="57"/>
      <c r="C14" s="79"/>
      <c r="D14" s="161" t="s">
        <v>15</v>
      </c>
      <c r="E14" s="161" t="s">
        <v>15</v>
      </c>
      <c r="F14" s="161" t="s">
        <v>15</v>
      </c>
      <c r="G14" s="16" t="s">
        <v>16</v>
      </c>
      <c r="H14" s="16" t="s">
        <v>15</v>
      </c>
      <c r="I14" s="16" t="s">
        <v>15</v>
      </c>
      <c r="J14" s="16" t="s">
        <v>15</v>
      </c>
      <c r="K14" s="16" t="s">
        <v>15</v>
      </c>
      <c r="L14" s="16" t="s">
        <v>16</v>
      </c>
      <c r="M14" s="16" t="s">
        <v>15</v>
      </c>
      <c r="N14" s="16" t="s">
        <v>16</v>
      </c>
      <c r="O14" s="16" t="s">
        <v>15</v>
      </c>
      <c r="P14" s="16" t="s">
        <v>15</v>
      </c>
      <c r="Q14" s="16" t="s">
        <v>16</v>
      </c>
      <c r="R14" s="16" t="s">
        <v>15</v>
      </c>
      <c r="S14" s="16" t="s">
        <v>16</v>
      </c>
      <c r="T14" s="16" t="s">
        <v>15</v>
      </c>
      <c r="U14" s="16" t="s">
        <v>15</v>
      </c>
      <c r="V14" s="16" t="s">
        <v>15</v>
      </c>
      <c r="W14" s="16" t="s">
        <v>16</v>
      </c>
      <c r="X14" s="22">
        <f t="shared" si="1"/>
        <v>0.7</v>
      </c>
      <c r="Y14" s="16" t="s">
        <v>15</v>
      </c>
      <c r="Z14" s="16" t="s">
        <v>15</v>
      </c>
      <c r="AA14" s="16" t="s">
        <v>15</v>
      </c>
      <c r="AB14" s="16" t="s">
        <v>15</v>
      </c>
      <c r="AC14" s="16" t="s">
        <v>15</v>
      </c>
      <c r="AD14" s="16" t="s">
        <v>16</v>
      </c>
      <c r="AE14" s="16" t="s">
        <v>15</v>
      </c>
      <c r="AF14" s="16" t="s">
        <v>16</v>
      </c>
      <c r="AG14" s="59" t="s">
        <v>15</v>
      </c>
      <c r="AH14" s="39" t="s">
        <v>15</v>
      </c>
      <c r="AI14" s="16" t="s">
        <v>15</v>
      </c>
      <c r="AJ14" s="16" t="s">
        <v>16</v>
      </c>
      <c r="AK14" s="16" t="s">
        <v>15</v>
      </c>
      <c r="AL14" s="16" t="s">
        <v>15</v>
      </c>
      <c r="AM14" s="16" t="s">
        <v>15</v>
      </c>
      <c r="AN14" s="16" t="s">
        <v>16</v>
      </c>
      <c r="AO14" s="16" t="s">
        <v>15</v>
      </c>
      <c r="AP14" s="16" t="s">
        <v>15</v>
      </c>
      <c r="AQ14" s="16" t="s">
        <v>15</v>
      </c>
      <c r="AR14" s="16" t="s">
        <v>15</v>
      </c>
      <c r="AS14" s="22">
        <f t="shared" si="2"/>
        <v>0.8</v>
      </c>
      <c r="AT14" s="16" t="s">
        <v>15</v>
      </c>
      <c r="AU14" s="16" t="s">
        <v>15</v>
      </c>
      <c r="AV14" s="16" t="s">
        <v>15</v>
      </c>
      <c r="AW14" s="16" t="s">
        <v>16</v>
      </c>
      <c r="AX14" s="16" t="s">
        <v>15</v>
      </c>
      <c r="AY14" s="16" t="s">
        <v>15</v>
      </c>
      <c r="AZ14" s="16" t="s">
        <v>16</v>
      </c>
      <c r="BA14" s="22">
        <f t="shared" ref="BA14:BA39" si="5">IFERROR(COUNTIF(AT14:AZ14,"P")/(COUNTIF(AT14:AZ14,"P")+COUNTIF(AT14:AZ14,"F")), "0,00%")</f>
        <v>0.7142857143</v>
      </c>
      <c r="BB14" s="261" t="s">
        <v>15</v>
      </c>
      <c r="BC14" s="16" t="s">
        <v>15</v>
      </c>
      <c r="BD14" s="261" t="s">
        <v>16</v>
      </c>
      <c r="BE14" s="261" t="s">
        <v>15</v>
      </c>
      <c r="BF14" s="261" t="s">
        <v>16</v>
      </c>
      <c r="BG14" s="16" t="s">
        <v>16</v>
      </c>
      <c r="BH14" s="16" t="s">
        <v>16</v>
      </c>
      <c r="BI14" s="16" t="s">
        <v>15</v>
      </c>
      <c r="BJ14" s="16" t="s">
        <v>15</v>
      </c>
      <c r="BK14" s="16" t="s">
        <v>16</v>
      </c>
      <c r="BL14" s="16" t="s">
        <v>16</v>
      </c>
      <c r="BM14" s="16" t="s">
        <v>15</v>
      </c>
      <c r="BN14" s="261" t="s">
        <v>15</v>
      </c>
      <c r="BO14" s="261" t="s">
        <v>16</v>
      </c>
      <c r="BP14" s="16" t="s">
        <v>15</v>
      </c>
      <c r="BQ14" s="59" t="s">
        <v>15</v>
      </c>
      <c r="BR14" s="124" t="s">
        <v>15</v>
      </c>
      <c r="BS14" s="59" t="s">
        <v>16</v>
      </c>
      <c r="BT14" s="261" t="s">
        <v>16</v>
      </c>
      <c r="BU14" s="16" t="s">
        <v>15</v>
      </c>
      <c r="BV14" s="16" t="s">
        <v>15</v>
      </c>
      <c r="BW14" s="16" t="s">
        <v>15</v>
      </c>
      <c r="BX14" s="22">
        <f t="shared" ref="BX14:BX39" si="6">IFERROR(COUNTIF(BB14:BW14,"P")/(COUNTIF(BB14:BW14,"P")+COUNTIF(BB14:BW14,"F")), "0,00%")</f>
        <v>0.5909090909</v>
      </c>
    </row>
    <row r="15">
      <c r="A15" s="277">
        <v>11.0</v>
      </c>
      <c r="B15" s="57"/>
      <c r="C15" s="290"/>
      <c r="D15" s="161" t="s">
        <v>15</v>
      </c>
      <c r="E15" s="161" t="s">
        <v>15</v>
      </c>
      <c r="F15" s="161" t="s">
        <v>15</v>
      </c>
      <c r="G15" s="16" t="s">
        <v>16</v>
      </c>
      <c r="H15" s="16" t="s">
        <v>15</v>
      </c>
      <c r="I15" s="16" t="s">
        <v>15</v>
      </c>
      <c r="J15" s="16" t="s">
        <v>15</v>
      </c>
      <c r="K15" s="16" t="s">
        <v>16</v>
      </c>
      <c r="L15" s="16" t="s">
        <v>15</v>
      </c>
      <c r="M15" s="16" t="s">
        <v>16</v>
      </c>
      <c r="N15" s="16" t="s">
        <v>15</v>
      </c>
      <c r="O15" s="16" t="s">
        <v>15</v>
      </c>
      <c r="P15" s="154" t="s">
        <v>15</v>
      </c>
      <c r="Q15" s="16" t="s">
        <v>15</v>
      </c>
      <c r="R15" s="16" t="s">
        <v>15</v>
      </c>
      <c r="S15" s="16" t="s">
        <v>16</v>
      </c>
      <c r="T15" s="16" t="s">
        <v>15</v>
      </c>
      <c r="U15" s="16" t="s">
        <v>16</v>
      </c>
      <c r="V15" s="16" t="s">
        <v>15</v>
      </c>
      <c r="W15" s="16" t="s">
        <v>15</v>
      </c>
      <c r="X15" s="22">
        <f t="shared" si="1"/>
        <v>0.75</v>
      </c>
      <c r="Y15" s="16" t="s">
        <v>15</v>
      </c>
      <c r="Z15" s="16" t="s">
        <v>15</v>
      </c>
      <c r="AA15" s="16" t="s">
        <v>15</v>
      </c>
      <c r="AB15" s="16" t="s">
        <v>15</v>
      </c>
      <c r="AC15" s="16" t="s">
        <v>15</v>
      </c>
      <c r="AD15" s="16" t="s">
        <v>15</v>
      </c>
      <c r="AE15" s="16" t="s">
        <v>15</v>
      </c>
      <c r="AF15" s="16" t="s">
        <v>16</v>
      </c>
      <c r="AG15" s="59" t="s">
        <v>15</v>
      </c>
      <c r="AH15" s="39" t="s">
        <v>15</v>
      </c>
      <c r="AI15" s="16" t="s">
        <v>15</v>
      </c>
      <c r="AJ15" s="16" t="s">
        <v>15</v>
      </c>
      <c r="AK15" s="16" t="s">
        <v>15</v>
      </c>
      <c r="AL15" s="16" t="s">
        <v>15</v>
      </c>
      <c r="AM15" s="16" t="s">
        <v>15</v>
      </c>
      <c r="AN15" s="16" t="s">
        <v>16</v>
      </c>
      <c r="AO15" s="16" t="s">
        <v>15</v>
      </c>
      <c r="AP15" s="16" t="s">
        <v>15</v>
      </c>
      <c r="AQ15" s="16" t="s">
        <v>15</v>
      </c>
      <c r="AR15" s="16" t="s">
        <v>16</v>
      </c>
      <c r="AS15" s="22">
        <f t="shared" si="2"/>
        <v>0.85</v>
      </c>
      <c r="AT15" s="16" t="s">
        <v>16</v>
      </c>
      <c r="AU15" s="16" t="s">
        <v>16</v>
      </c>
      <c r="AV15" s="16" t="s">
        <v>15</v>
      </c>
      <c r="AW15" s="16" t="s">
        <v>16</v>
      </c>
      <c r="AX15" s="16" t="s">
        <v>16</v>
      </c>
      <c r="AY15" s="16" t="s">
        <v>15</v>
      </c>
      <c r="AZ15" s="16" t="s">
        <v>15</v>
      </c>
      <c r="BA15" s="22">
        <f t="shared" si="5"/>
        <v>0.4285714286</v>
      </c>
      <c r="BB15" s="261" t="s">
        <v>15</v>
      </c>
      <c r="BC15" s="16" t="s">
        <v>15</v>
      </c>
      <c r="BD15" s="261" t="s">
        <v>15</v>
      </c>
      <c r="BE15" s="261" t="s">
        <v>15</v>
      </c>
      <c r="BF15" s="261" t="s">
        <v>16</v>
      </c>
      <c r="BG15" s="16" t="s">
        <v>16</v>
      </c>
      <c r="BH15" s="16" t="s">
        <v>15</v>
      </c>
      <c r="BI15" s="16" t="s">
        <v>15</v>
      </c>
      <c r="BJ15" s="16" t="s">
        <v>15</v>
      </c>
      <c r="BK15" s="16" t="s">
        <v>16</v>
      </c>
      <c r="BL15" s="16" t="s">
        <v>15</v>
      </c>
      <c r="BM15" s="16" t="s">
        <v>16</v>
      </c>
      <c r="BN15" s="261" t="s">
        <v>15</v>
      </c>
      <c r="BO15" s="261" t="s">
        <v>16</v>
      </c>
      <c r="BP15" s="16" t="s">
        <v>15</v>
      </c>
      <c r="BQ15" s="59" t="s">
        <v>15</v>
      </c>
      <c r="BR15" s="124" t="s">
        <v>15</v>
      </c>
      <c r="BS15" s="59" t="s">
        <v>15</v>
      </c>
      <c r="BT15" s="261" t="s">
        <v>16</v>
      </c>
      <c r="BU15" s="16" t="s">
        <v>15</v>
      </c>
      <c r="BV15" s="16" t="s">
        <v>15</v>
      </c>
      <c r="BW15" s="16" t="s">
        <v>16</v>
      </c>
      <c r="BX15" s="22">
        <f t="shared" si="6"/>
        <v>0.6818181818</v>
      </c>
    </row>
    <row r="16">
      <c r="A16" s="277">
        <v>12.0</v>
      </c>
      <c r="B16" s="57"/>
      <c r="C16" s="79"/>
      <c r="D16" s="161" t="s">
        <v>15</v>
      </c>
      <c r="E16" s="161" t="s">
        <v>15</v>
      </c>
      <c r="F16" s="161" t="s">
        <v>15</v>
      </c>
      <c r="G16" s="16" t="s">
        <v>15</v>
      </c>
      <c r="H16" s="16" t="s">
        <v>15</v>
      </c>
      <c r="I16" s="16" t="s">
        <v>15</v>
      </c>
      <c r="J16" s="16" t="s">
        <v>15</v>
      </c>
      <c r="K16" s="16" t="s">
        <v>15</v>
      </c>
      <c r="L16" s="16" t="s">
        <v>15</v>
      </c>
      <c r="M16" s="16" t="s">
        <v>15</v>
      </c>
      <c r="N16" s="16" t="s">
        <v>15</v>
      </c>
      <c r="O16" s="16" t="s">
        <v>15</v>
      </c>
      <c r="P16" s="16" t="s">
        <v>15</v>
      </c>
      <c r="Q16" s="16" t="s">
        <v>15</v>
      </c>
      <c r="R16" s="16" t="s">
        <v>15</v>
      </c>
      <c r="S16" s="16" t="s">
        <v>15</v>
      </c>
      <c r="T16" s="16" t="s">
        <v>15</v>
      </c>
      <c r="U16" s="16" t="s">
        <v>15</v>
      </c>
      <c r="V16" s="16" t="s">
        <v>15</v>
      </c>
      <c r="W16" s="16" t="s">
        <v>15</v>
      </c>
      <c r="X16" s="22">
        <f t="shared" si="1"/>
        <v>1</v>
      </c>
      <c r="Y16" s="16" t="s">
        <v>15</v>
      </c>
      <c r="Z16" s="16" t="s">
        <v>15</v>
      </c>
      <c r="AA16" s="16" t="s">
        <v>15</v>
      </c>
      <c r="AB16" s="16" t="s">
        <v>15</v>
      </c>
      <c r="AC16" s="16" t="s">
        <v>15</v>
      </c>
      <c r="AD16" s="16" t="s">
        <v>15</v>
      </c>
      <c r="AE16" s="16" t="s">
        <v>15</v>
      </c>
      <c r="AF16" s="16" t="s">
        <v>15</v>
      </c>
      <c r="AG16" s="59" t="s">
        <v>15</v>
      </c>
      <c r="AH16" s="39" t="s">
        <v>15</v>
      </c>
      <c r="AI16" s="16" t="s">
        <v>15</v>
      </c>
      <c r="AJ16" s="16" t="s">
        <v>15</v>
      </c>
      <c r="AK16" s="16" t="s">
        <v>15</v>
      </c>
      <c r="AL16" s="16" t="s">
        <v>15</v>
      </c>
      <c r="AM16" s="16" t="s">
        <v>15</v>
      </c>
      <c r="AN16" s="16" t="s">
        <v>15</v>
      </c>
      <c r="AO16" s="16" t="s">
        <v>15</v>
      </c>
      <c r="AP16" s="16" t="s">
        <v>15</v>
      </c>
      <c r="AQ16" s="16" t="s">
        <v>16</v>
      </c>
      <c r="AR16" s="16" t="s">
        <v>15</v>
      </c>
      <c r="AS16" s="22">
        <f t="shared" si="2"/>
        <v>0.95</v>
      </c>
      <c r="AT16" s="16" t="s">
        <v>15</v>
      </c>
      <c r="AU16" s="16" t="s">
        <v>16</v>
      </c>
      <c r="AV16" s="16" t="s">
        <v>15</v>
      </c>
      <c r="AW16" s="16" t="s">
        <v>15</v>
      </c>
      <c r="AX16" s="16" t="s">
        <v>15</v>
      </c>
      <c r="AY16" s="16" t="s">
        <v>15</v>
      </c>
      <c r="AZ16" s="16" t="s">
        <v>15</v>
      </c>
      <c r="BA16" s="22">
        <f t="shared" si="5"/>
        <v>0.8571428571</v>
      </c>
      <c r="BB16" s="261" t="s">
        <v>15</v>
      </c>
      <c r="BC16" s="16" t="s">
        <v>15</v>
      </c>
      <c r="BD16" s="261" t="s">
        <v>15</v>
      </c>
      <c r="BE16" s="261" t="s">
        <v>15</v>
      </c>
      <c r="BF16" s="261" t="s">
        <v>16</v>
      </c>
      <c r="BG16" s="16" t="s">
        <v>15</v>
      </c>
      <c r="BH16" s="16" t="s">
        <v>15</v>
      </c>
      <c r="BI16" s="16" t="s">
        <v>15</v>
      </c>
      <c r="BJ16" s="16" t="s">
        <v>15</v>
      </c>
      <c r="BK16" s="16" t="s">
        <v>15</v>
      </c>
      <c r="BL16" s="16" t="s">
        <v>15</v>
      </c>
      <c r="BM16" s="16" t="s">
        <v>15</v>
      </c>
      <c r="BN16" s="261" t="s">
        <v>15</v>
      </c>
      <c r="BO16" s="261" t="s">
        <v>15</v>
      </c>
      <c r="BP16" s="16" t="s">
        <v>15</v>
      </c>
      <c r="BQ16" s="59" t="s">
        <v>15</v>
      </c>
      <c r="BR16" s="124" t="s">
        <v>15</v>
      </c>
      <c r="BS16" s="59" t="s">
        <v>15</v>
      </c>
      <c r="BT16" s="261" t="s">
        <v>15</v>
      </c>
      <c r="BU16" s="16" t="s">
        <v>15</v>
      </c>
      <c r="BV16" s="16" t="s">
        <v>15</v>
      </c>
      <c r="BW16" s="16" t="s">
        <v>15</v>
      </c>
      <c r="BX16" s="22">
        <f t="shared" si="6"/>
        <v>0.9545454545</v>
      </c>
    </row>
    <row r="17">
      <c r="A17" s="277">
        <v>13.0</v>
      </c>
      <c r="B17" s="57"/>
      <c r="C17" s="112" t="s">
        <v>32</v>
      </c>
      <c r="D17" s="161" t="s">
        <v>15</v>
      </c>
      <c r="E17" s="161" t="s">
        <v>15</v>
      </c>
      <c r="F17" s="161" t="s">
        <v>15</v>
      </c>
      <c r="G17" s="16" t="s">
        <v>15</v>
      </c>
      <c r="H17" s="16" t="s">
        <v>15</v>
      </c>
      <c r="I17" s="16" t="s">
        <v>15</v>
      </c>
      <c r="J17" s="16" t="s">
        <v>15</v>
      </c>
      <c r="K17" s="16" t="s">
        <v>15</v>
      </c>
      <c r="L17" s="16" t="s">
        <v>15</v>
      </c>
      <c r="M17" s="16" t="s">
        <v>16</v>
      </c>
      <c r="N17" s="16" t="s">
        <v>15</v>
      </c>
      <c r="O17" s="16" t="s">
        <v>15</v>
      </c>
      <c r="P17" s="16" t="s">
        <v>15</v>
      </c>
      <c r="Q17" s="16" t="s">
        <v>15</v>
      </c>
      <c r="R17" s="16" t="s">
        <v>15</v>
      </c>
      <c r="S17" s="16" t="s">
        <v>15</v>
      </c>
      <c r="T17" s="16" t="s">
        <v>15</v>
      </c>
      <c r="U17" s="16" t="s">
        <v>15</v>
      </c>
      <c r="V17" s="16" t="s">
        <v>16</v>
      </c>
      <c r="W17" s="16" t="s">
        <v>16</v>
      </c>
      <c r="X17" s="22">
        <f t="shared" si="1"/>
        <v>0.85</v>
      </c>
      <c r="Y17" s="16" t="s">
        <v>16</v>
      </c>
      <c r="Z17" s="16" t="s">
        <v>15</v>
      </c>
      <c r="AA17" s="16" t="s">
        <v>15</v>
      </c>
      <c r="AB17" s="16" t="s">
        <v>15</v>
      </c>
      <c r="AC17" s="16" t="s">
        <v>15</v>
      </c>
      <c r="AD17" s="16" t="s">
        <v>15</v>
      </c>
      <c r="AE17" s="16" t="s">
        <v>15</v>
      </c>
      <c r="AF17" s="16" t="s">
        <v>15</v>
      </c>
      <c r="AG17" s="59" t="s">
        <v>16</v>
      </c>
      <c r="AH17" s="59" t="s">
        <v>16</v>
      </c>
      <c r="AI17" s="16" t="s">
        <v>15</v>
      </c>
      <c r="AJ17" s="16" t="s">
        <v>15</v>
      </c>
      <c r="AK17" s="16" t="s">
        <v>15</v>
      </c>
      <c r="AL17" s="16" t="s">
        <v>15</v>
      </c>
      <c r="AM17" s="16" t="s">
        <v>15</v>
      </c>
      <c r="AN17" s="16" t="s">
        <v>16</v>
      </c>
      <c r="AO17" s="16" t="s">
        <v>15</v>
      </c>
      <c r="AP17" s="16" t="s">
        <v>15</v>
      </c>
      <c r="AQ17" s="16" t="s">
        <v>15</v>
      </c>
      <c r="AR17" s="16" t="s">
        <v>15</v>
      </c>
      <c r="AS17" s="22">
        <f t="shared" si="2"/>
        <v>0.8</v>
      </c>
      <c r="AT17" s="16" t="s">
        <v>15</v>
      </c>
      <c r="AU17" s="16" t="s">
        <v>15</v>
      </c>
      <c r="AV17" s="16" t="s">
        <v>15</v>
      </c>
      <c r="AW17" s="16" t="s">
        <v>15</v>
      </c>
      <c r="AX17" s="16" t="s">
        <v>15</v>
      </c>
      <c r="AY17" s="16" t="s">
        <v>15</v>
      </c>
      <c r="AZ17" s="16" t="s">
        <v>15</v>
      </c>
      <c r="BA17" s="22">
        <f t="shared" si="5"/>
        <v>1</v>
      </c>
      <c r="BB17" s="261" t="s">
        <v>15</v>
      </c>
      <c r="BC17" s="16" t="s">
        <v>15</v>
      </c>
      <c r="BD17" s="261" t="s">
        <v>15</v>
      </c>
      <c r="BE17" s="261" t="s">
        <v>15</v>
      </c>
      <c r="BF17" s="261" t="s">
        <v>16</v>
      </c>
      <c r="BG17" s="16" t="s">
        <v>15</v>
      </c>
      <c r="BH17" s="16" t="s">
        <v>16</v>
      </c>
      <c r="BI17" s="16" t="s">
        <v>15</v>
      </c>
      <c r="BJ17" s="16" t="s">
        <v>15</v>
      </c>
      <c r="BK17" s="16" t="s">
        <v>16</v>
      </c>
      <c r="BL17" s="16" t="s">
        <v>15</v>
      </c>
      <c r="BM17" s="16" t="s">
        <v>15</v>
      </c>
      <c r="BN17" s="261" t="s">
        <v>15</v>
      </c>
      <c r="BO17" s="261" t="s">
        <v>15</v>
      </c>
      <c r="BP17" s="16" t="s">
        <v>15</v>
      </c>
      <c r="BQ17" s="59" t="s">
        <v>15</v>
      </c>
      <c r="BR17" s="293" t="s">
        <v>16</v>
      </c>
      <c r="BS17" s="59" t="s">
        <v>16</v>
      </c>
      <c r="BT17" s="261" t="s">
        <v>15</v>
      </c>
      <c r="BU17" s="16" t="s">
        <v>15</v>
      </c>
      <c r="BV17" s="16" t="s">
        <v>15</v>
      </c>
      <c r="BW17" s="16" t="s">
        <v>15</v>
      </c>
      <c r="BX17" s="22">
        <f t="shared" si="6"/>
        <v>0.7727272727</v>
      </c>
    </row>
    <row r="18">
      <c r="A18" s="277">
        <v>14.0</v>
      </c>
      <c r="B18" s="62"/>
      <c r="C18" s="56"/>
      <c r="D18" s="161" t="s">
        <v>15</v>
      </c>
      <c r="E18" s="161" t="s">
        <v>15</v>
      </c>
      <c r="F18" s="161" t="s">
        <v>15</v>
      </c>
      <c r="G18" s="16" t="s">
        <v>15</v>
      </c>
      <c r="H18" s="16" t="s">
        <v>16</v>
      </c>
      <c r="I18" s="16" t="s">
        <v>15</v>
      </c>
      <c r="J18" s="16" t="s">
        <v>15</v>
      </c>
      <c r="K18" s="16" t="s">
        <v>15</v>
      </c>
      <c r="L18" s="16" t="s">
        <v>16</v>
      </c>
      <c r="M18" s="16" t="s">
        <v>15</v>
      </c>
      <c r="N18" s="16" t="s">
        <v>15</v>
      </c>
      <c r="O18" s="16" t="s">
        <v>15</v>
      </c>
      <c r="P18" s="16" t="s">
        <v>15</v>
      </c>
      <c r="Q18" s="16" t="s">
        <v>15</v>
      </c>
      <c r="R18" s="16" t="s">
        <v>16</v>
      </c>
      <c r="S18" s="16" t="s">
        <v>15</v>
      </c>
      <c r="T18" s="16" t="s">
        <v>15</v>
      </c>
      <c r="U18" s="16" t="s">
        <v>16</v>
      </c>
      <c r="V18" s="16" t="s">
        <v>16</v>
      </c>
      <c r="W18" s="16" t="s">
        <v>15</v>
      </c>
      <c r="X18" s="22">
        <f t="shared" si="1"/>
        <v>0.75</v>
      </c>
      <c r="Y18" s="16" t="s">
        <v>15</v>
      </c>
      <c r="Z18" s="16" t="s">
        <v>15</v>
      </c>
      <c r="AA18" s="16" t="s">
        <v>16</v>
      </c>
      <c r="AB18" s="16" t="s">
        <v>16</v>
      </c>
      <c r="AC18" s="16" t="s">
        <v>15</v>
      </c>
      <c r="AD18" s="16" t="s">
        <v>15</v>
      </c>
      <c r="AE18" s="16" t="s">
        <v>15</v>
      </c>
      <c r="AF18" s="16" t="s">
        <v>15</v>
      </c>
      <c r="AG18" s="59" t="s">
        <v>16</v>
      </c>
      <c r="AH18" s="39" t="s">
        <v>15</v>
      </c>
      <c r="AI18" s="16" t="s">
        <v>15</v>
      </c>
      <c r="AJ18" s="16" t="s">
        <v>15</v>
      </c>
      <c r="AK18" s="16" t="s">
        <v>15</v>
      </c>
      <c r="AL18" s="16" t="s">
        <v>15</v>
      </c>
      <c r="AM18" s="16" t="s">
        <v>15</v>
      </c>
      <c r="AN18" s="16" t="s">
        <v>16</v>
      </c>
      <c r="AO18" s="16" t="s">
        <v>15</v>
      </c>
      <c r="AP18" s="16" t="s">
        <v>15</v>
      </c>
      <c r="AQ18" s="16" t="s">
        <v>15</v>
      </c>
      <c r="AR18" s="16" t="s">
        <v>15</v>
      </c>
      <c r="AS18" s="22">
        <f t="shared" si="2"/>
        <v>0.8</v>
      </c>
      <c r="AT18" s="16" t="s">
        <v>15</v>
      </c>
      <c r="AU18" s="16" t="s">
        <v>16</v>
      </c>
      <c r="AV18" s="16" t="s">
        <v>15</v>
      </c>
      <c r="AW18" s="16" t="s">
        <v>16</v>
      </c>
      <c r="AX18" s="16" t="s">
        <v>15</v>
      </c>
      <c r="AY18" s="16" t="s">
        <v>15</v>
      </c>
      <c r="AZ18" s="16" t="s">
        <v>15</v>
      </c>
      <c r="BA18" s="22">
        <f t="shared" si="5"/>
        <v>0.7142857143</v>
      </c>
      <c r="BB18" s="261" t="s">
        <v>15</v>
      </c>
      <c r="BC18" s="16" t="s">
        <v>15</v>
      </c>
      <c r="BD18" s="261" t="s">
        <v>16</v>
      </c>
      <c r="BE18" s="261" t="s">
        <v>15</v>
      </c>
      <c r="BF18" s="261" t="s">
        <v>16</v>
      </c>
      <c r="BG18" s="16" t="s">
        <v>16</v>
      </c>
      <c r="BH18" s="16" t="s">
        <v>16</v>
      </c>
      <c r="BI18" s="16" t="s">
        <v>15</v>
      </c>
      <c r="BJ18" s="16" t="s">
        <v>16</v>
      </c>
      <c r="BK18" s="16" t="s">
        <v>15</v>
      </c>
      <c r="BL18" s="16" t="s">
        <v>15</v>
      </c>
      <c r="BM18" s="16" t="s">
        <v>15</v>
      </c>
      <c r="BN18" s="261" t="s">
        <v>15</v>
      </c>
      <c r="BO18" s="261" t="s">
        <v>15</v>
      </c>
      <c r="BP18" s="16" t="s">
        <v>15</v>
      </c>
      <c r="BQ18" s="59" t="s">
        <v>15</v>
      </c>
      <c r="BR18" s="124" t="s">
        <v>15</v>
      </c>
      <c r="BS18" s="59" t="s">
        <v>16</v>
      </c>
      <c r="BT18" s="261" t="s">
        <v>15</v>
      </c>
      <c r="BU18" s="16" t="s">
        <v>15</v>
      </c>
      <c r="BV18" s="16" t="s">
        <v>15</v>
      </c>
      <c r="BW18" s="16" t="s">
        <v>15</v>
      </c>
      <c r="BX18" s="22">
        <f t="shared" si="6"/>
        <v>0.7272727273</v>
      </c>
    </row>
    <row r="19">
      <c r="A19" s="277">
        <v>15.0</v>
      </c>
      <c r="B19" s="57"/>
      <c r="C19" s="79"/>
      <c r="D19" s="161" t="s">
        <v>15</v>
      </c>
      <c r="E19" s="161" t="s">
        <v>15</v>
      </c>
      <c r="F19" s="161" t="s">
        <v>15</v>
      </c>
      <c r="G19" s="16" t="s">
        <v>15</v>
      </c>
      <c r="H19" s="16" t="s">
        <v>15</v>
      </c>
      <c r="I19" s="16" t="s">
        <v>15</v>
      </c>
      <c r="J19" s="16" t="s">
        <v>15</v>
      </c>
      <c r="K19" s="16" t="s">
        <v>15</v>
      </c>
      <c r="L19" s="16" t="s">
        <v>15</v>
      </c>
      <c r="M19" s="16" t="s">
        <v>15</v>
      </c>
      <c r="N19" s="16" t="s">
        <v>16</v>
      </c>
      <c r="O19" s="16" t="s">
        <v>15</v>
      </c>
      <c r="P19" s="16" t="s">
        <v>15</v>
      </c>
      <c r="Q19" s="16" t="s">
        <v>15</v>
      </c>
      <c r="R19" s="16" t="s">
        <v>15</v>
      </c>
      <c r="S19" s="16" t="s">
        <v>15</v>
      </c>
      <c r="T19" s="16" t="s">
        <v>15</v>
      </c>
      <c r="U19" s="16" t="s">
        <v>15</v>
      </c>
      <c r="V19" s="16" t="s">
        <v>15</v>
      </c>
      <c r="W19" s="16" t="s">
        <v>15</v>
      </c>
      <c r="X19" s="22">
        <f t="shared" si="1"/>
        <v>0.95</v>
      </c>
      <c r="Y19" s="16" t="s">
        <v>15</v>
      </c>
      <c r="Z19" s="16" t="s">
        <v>15</v>
      </c>
      <c r="AA19" s="16" t="s">
        <v>15</v>
      </c>
      <c r="AB19" s="16" t="s">
        <v>15</v>
      </c>
      <c r="AC19" s="16" t="s">
        <v>15</v>
      </c>
      <c r="AD19" s="16" t="s">
        <v>15</v>
      </c>
      <c r="AE19" s="16" t="s">
        <v>15</v>
      </c>
      <c r="AF19" s="16" t="s">
        <v>15</v>
      </c>
      <c r="AG19" s="59" t="s">
        <v>15</v>
      </c>
      <c r="AH19" s="39" t="s">
        <v>15</v>
      </c>
      <c r="AI19" s="16" t="s">
        <v>15</v>
      </c>
      <c r="AJ19" s="16" t="s">
        <v>15</v>
      </c>
      <c r="AK19" s="16" t="s">
        <v>15</v>
      </c>
      <c r="AL19" s="16" t="s">
        <v>15</v>
      </c>
      <c r="AM19" s="16" t="s">
        <v>15</v>
      </c>
      <c r="AN19" s="16" t="s">
        <v>15</v>
      </c>
      <c r="AO19" s="16" t="s">
        <v>15</v>
      </c>
      <c r="AP19" s="16" t="s">
        <v>15</v>
      </c>
      <c r="AQ19" s="16" t="s">
        <v>15</v>
      </c>
      <c r="AR19" s="16" t="s">
        <v>15</v>
      </c>
      <c r="AS19" s="22">
        <f t="shared" si="2"/>
        <v>1</v>
      </c>
      <c r="AT19" s="16" t="s">
        <v>16</v>
      </c>
      <c r="AU19" s="16" t="s">
        <v>16</v>
      </c>
      <c r="AV19" s="16" t="s">
        <v>15</v>
      </c>
      <c r="AW19" s="16" t="s">
        <v>16</v>
      </c>
      <c r="AX19" s="16" t="s">
        <v>16</v>
      </c>
      <c r="AY19" s="16" t="s">
        <v>16</v>
      </c>
      <c r="AZ19" s="16" t="s">
        <v>16</v>
      </c>
      <c r="BA19" s="22">
        <f t="shared" si="5"/>
        <v>0.1428571429</v>
      </c>
      <c r="BB19" s="261" t="s">
        <v>15</v>
      </c>
      <c r="BC19" s="16" t="s">
        <v>15</v>
      </c>
      <c r="BD19" s="261" t="s">
        <v>15</v>
      </c>
      <c r="BE19" s="261" t="s">
        <v>15</v>
      </c>
      <c r="BF19" s="261" t="s">
        <v>16</v>
      </c>
      <c r="BG19" s="16" t="s">
        <v>15</v>
      </c>
      <c r="BH19" s="16" t="s">
        <v>15</v>
      </c>
      <c r="BI19" s="16" t="s">
        <v>16</v>
      </c>
      <c r="BJ19" s="16" t="s">
        <v>15</v>
      </c>
      <c r="BK19" s="16" t="s">
        <v>15</v>
      </c>
      <c r="BL19" s="16" t="s">
        <v>15</v>
      </c>
      <c r="BM19" s="16" t="s">
        <v>15</v>
      </c>
      <c r="BN19" s="261" t="s">
        <v>15</v>
      </c>
      <c r="BO19" s="261" t="s">
        <v>16</v>
      </c>
      <c r="BP19" s="16" t="s">
        <v>15</v>
      </c>
      <c r="BQ19" s="59" t="s">
        <v>15</v>
      </c>
      <c r="BR19" s="124" t="s">
        <v>15</v>
      </c>
      <c r="BS19" s="59" t="s">
        <v>16</v>
      </c>
      <c r="BT19" s="261" t="s">
        <v>15</v>
      </c>
      <c r="BU19" s="16" t="s">
        <v>15</v>
      </c>
      <c r="BV19" s="16" t="s">
        <v>15</v>
      </c>
      <c r="BW19" s="16" t="s">
        <v>16</v>
      </c>
      <c r="BX19" s="22">
        <f t="shared" si="6"/>
        <v>0.7727272727</v>
      </c>
    </row>
    <row r="20">
      <c r="A20" s="277">
        <v>16.0</v>
      </c>
      <c r="B20" s="57"/>
      <c r="C20" s="79"/>
      <c r="D20" s="161" t="s">
        <v>15</v>
      </c>
      <c r="E20" s="161" t="s">
        <v>15</v>
      </c>
      <c r="F20" s="161" t="s">
        <v>15</v>
      </c>
      <c r="G20" s="16" t="s">
        <v>15</v>
      </c>
      <c r="H20" s="16" t="s">
        <v>15</v>
      </c>
      <c r="I20" s="16" t="s">
        <v>15</v>
      </c>
      <c r="J20" s="16" t="s">
        <v>15</v>
      </c>
      <c r="K20" s="16" t="s">
        <v>15</v>
      </c>
      <c r="L20" s="16" t="s">
        <v>15</v>
      </c>
      <c r="M20" s="16" t="s">
        <v>15</v>
      </c>
      <c r="N20" s="16" t="s">
        <v>15</v>
      </c>
      <c r="O20" s="16" t="s">
        <v>15</v>
      </c>
      <c r="P20" s="16" t="s">
        <v>15</v>
      </c>
      <c r="Q20" s="16" t="s">
        <v>15</v>
      </c>
      <c r="R20" s="16" t="s">
        <v>15</v>
      </c>
      <c r="S20" s="16" t="s">
        <v>15</v>
      </c>
      <c r="T20" s="16" t="s">
        <v>15</v>
      </c>
      <c r="U20" s="16" t="s">
        <v>15</v>
      </c>
      <c r="V20" s="16" t="s">
        <v>15</v>
      </c>
      <c r="W20" s="16" t="s">
        <v>15</v>
      </c>
      <c r="X20" s="22">
        <f t="shared" si="1"/>
        <v>1</v>
      </c>
      <c r="Y20" s="16" t="s">
        <v>15</v>
      </c>
      <c r="Z20" s="16" t="s">
        <v>15</v>
      </c>
      <c r="AA20" s="16" t="s">
        <v>15</v>
      </c>
      <c r="AB20" s="16" t="s">
        <v>15</v>
      </c>
      <c r="AC20" s="16" t="s">
        <v>15</v>
      </c>
      <c r="AD20" s="16" t="s">
        <v>15</v>
      </c>
      <c r="AE20" s="16" t="s">
        <v>15</v>
      </c>
      <c r="AF20" s="16" t="s">
        <v>15</v>
      </c>
      <c r="AG20" s="59" t="s">
        <v>15</v>
      </c>
      <c r="AH20" s="39" t="s">
        <v>15</v>
      </c>
      <c r="AI20" s="16" t="s">
        <v>15</v>
      </c>
      <c r="AJ20" s="16" t="s">
        <v>15</v>
      </c>
      <c r="AK20" s="16" t="s">
        <v>15</v>
      </c>
      <c r="AL20" s="16" t="s">
        <v>15</v>
      </c>
      <c r="AM20" s="16" t="s">
        <v>15</v>
      </c>
      <c r="AN20" s="16" t="s">
        <v>15</v>
      </c>
      <c r="AO20" s="16" t="s">
        <v>15</v>
      </c>
      <c r="AP20" s="16" t="s">
        <v>15</v>
      </c>
      <c r="AQ20" s="16" t="s">
        <v>15</v>
      </c>
      <c r="AR20" s="16" t="s">
        <v>15</v>
      </c>
      <c r="AS20" s="22">
        <f t="shared" si="2"/>
        <v>1</v>
      </c>
      <c r="AT20" s="16" t="s">
        <v>15</v>
      </c>
      <c r="AU20" s="16" t="s">
        <v>15</v>
      </c>
      <c r="AV20" s="16" t="s">
        <v>15</v>
      </c>
      <c r="AW20" s="16" t="s">
        <v>15</v>
      </c>
      <c r="AX20" s="16" t="s">
        <v>15</v>
      </c>
      <c r="AY20" s="16" t="s">
        <v>15</v>
      </c>
      <c r="AZ20" s="16" t="s">
        <v>15</v>
      </c>
      <c r="BA20" s="22">
        <f t="shared" si="5"/>
        <v>1</v>
      </c>
      <c r="BB20" s="261" t="s">
        <v>15</v>
      </c>
      <c r="BC20" s="16" t="s">
        <v>15</v>
      </c>
      <c r="BD20" s="261" t="s">
        <v>15</v>
      </c>
      <c r="BE20" s="261" t="s">
        <v>15</v>
      </c>
      <c r="BF20" s="261" t="s">
        <v>16</v>
      </c>
      <c r="BG20" s="16" t="s">
        <v>15</v>
      </c>
      <c r="BH20" s="16" t="s">
        <v>15</v>
      </c>
      <c r="BI20" s="16" t="s">
        <v>15</v>
      </c>
      <c r="BJ20" s="16" t="s">
        <v>15</v>
      </c>
      <c r="BK20" s="16" t="s">
        <v>15</v>
      </c>
      <c r="BL20" s="16" t="s">
        <v>15</v>
      </c>
      <c r="BM20" s="16" t="s">
        <v>15</v>
      </c>
      <c r="BN20" s="261" t="s">
        <v>15</v>
      </c>
      <c r="BO20" s="261" t="s">
        <v>15</v>
      </c>
      <c r="BP20" s="16" t="s">
        <v>15</v>
      </c>
      <c r="BQ20" s="59" t="s">
        <v>15</v>
      </c>
      <c r="BR20" s="124" t="s">
        <v>15</v>
      </c>
      <c r="BS20" s="59" t="s">
        <v>16</v>
      </c>
      <c r="BT20" s="261" t="s">
        <v>15</v>
      </c>
      <c r="BU20" s="16" t="s">
        <v>15</v>
      </c>
      <c r="BV20" s="16" t="s">
        <v>15</v>
      </c>
      <c r="BW20" s="16" t="s">
        <v>15</v>
      </c>
      <c r="BX20" s="22">
        <f t="shared" si="6"/>
        <v>0.9090909091</v>
      </c>
    </row>
    <row r="21">
      <c r="A21" s="277">
        <v>17.0</v>
      </c>
      <c r="B21" s="57"/>
      <c r="C21" s="79"/>
      <c r="D21" s="161" t="s">
        <v>15</v>
      </c>
      <c r="E21" s="161" t="s">
        <v>15</v>
      </c>
      <c r="F21" s="161" t="s">
        <v>15</v>
      </c>
      <c r="G21" s="16" t="s">
        <v>15</v>
      </c>
      <c r="H21" s="16" t="s">
        <v>15</v>
      </c>
      <c r="I21" s="16" t="s">
        <v>15</v>
      </c>
      <c r="J21" s="16" t="s">
        <v>15</v>
      </c>
      <c r="K21" s="16" t="s">
        <v>15</v>
      </c>
      <c r="L21" s="16" t="s">
        <v>15</v>
      </c>
      <c r="M21" s="16" t="s">
        <v>15</v>
      </c>
      <c r="N21" s="16" t="s">
        <v>15</v>
      </c>
      <c r="O21" s="16" t="s">
        <v>15</v>
      </c>
      <c r="P21" s="16" t="s">
        <v>15</v>
      </c>
      <c r="Q21" s="16" t="s">
        <v>15</v>
      </c>
      <c r="R21" s="16" t="s">
        <v>16</v>
      </c>
      <c r="S21" s="16" t="s">
        <v>15</v>
      </c>
      <c r="T21" s="16" t="s">
        <v>15</v>
      </c>
      <c r="U21" s="16" t="s">
        <v>15</v>
      </c>
      <c r="V21" s="16" t="s">
        <v>15</v>
      </c>
      <c r="W21" s="16" t="s">
        <v>15</v>
      </c>
      <c r="X21" s="22">
        <f t="shared" si="1"/>
        <v>0.95</v>
      </c>
      <c r="Y21" s="16" t="s">
        <v>15</v>
      </c>
      <c r="Z21" s="16" t="s">
        <v>15</v>
      </c>
      <c r="AA21" s="16" t="s">
        <v>16</v>
      </c>
      <c r="AB21" s="16" t="s">
        <v>16</v>
      </c>
      <c r="AC21" s="16" t="s">
        <v>15</v>
      </c>
      <c r="AD21" s="16" t="s">
        <v>15</v>
      </c>
      <c r="AE21" s="16" t="s">
        <v>15</v>
      </c>
      <c r="AF21" s="16" t="s">
        <v>15</v>
      </c>
      <c r="AG21" s="59" t="s">
        <v>15</v>
      </c>
      <c r="AH21" s="39" t="s">
        <v>15</v>
      </c>
      <c r="AI21" s="16" t="s">
        <v>15</v>
      </c>
      <c r="AJ21" s="16" t="s">
        <v>15</v>
      </c>
      <c r="AK21" s="16" t="s">
        <v>15</v>
      </c>
      <c r="AL21" s="16" t="s">
        <v>15</v>
      </c>
      <c r="AM21" s="16" t="s">
        <v>15</v>
      </c>
      <c r="AN21" s="16" t="s">
        <v>16</v>
      </c>
      <c r="AO21" s="16" t="s">
        <v>15</v>
      </c>
      <c r="AP21" s="16" t="s">
        <v>15</v>
      </c>
      <c r="AQ21" s="16" t="s">
        <v>15</v>
      </c>
      <c r="AR21" s="16" t="s">
        <v>15</v>
      </c>
      <c r="AS21" s="22">
        <f t="shared" si="2"/>
        <v>0.85</v>
      </c>
      <c r="AT21" s="16" t="s">
        <v>15</v>
      </c>
      <c r="AU21" s="16" t="s">
        <v>15</v>
      </c>
      <c r="AV21" s="16" t="s">
        <v>15</v>
      </c>
      <c r="AW21" s="16" t="s">
        <v>15</v>
      </c>
      <c r="AX21" s="16" t="s">
        <v>16</v>
      </c>
      <c r="AY21" s="16" t="s">
        <v>15</v>
      </c>
      <c r="AZ21" s="16" t="s">
        <v>15</v>
      </c>
      <c r="BA21" s="22">
        <f t="shared" si="5"/>
        <v>0.8571428571</v>
      </c>
      <c r="BB21" s="261" t="s">
        <v>15</v>
      </c>
      <c r="BC21" s="16" t="s">
        <v>15</v>
      </c>
      <c r="BD21" s="261" t="s">
        <v>15</v>
      </c>
      <c r="BE21" s="261" t="s">
        <v>15</v>
      </c>
      <c r="BF21" s="261" t="s">
        <v>16</v>
      </c>
      <c r="BG21" s="16" t="s">
        <v>15</v>
      </c>
      <c r="BH21" s="16" t="s">
        <v>15</v>
      </c>
      <c r="BI21" s="16" t="s">
        <v>15</v>
      </c>
      <c r="BJ21" s="16" t="s">
        <v>15</v>
      </c>
      <c r="BK21" s="16" t="s">
        <v>15</v>
      </c>
      <c r="BL21" s="16" t="s">
        <v>15</v>
      </c>
      <c r="BM21" s="16" t="s">
        <v>16</v>
      </c>
      <c r="BN21" s="261" t="s">
        <v>15</v>
      </c>
      <c r="BO21" s="261" t="s">
        <v>15</v>
      </c>
      <c r="BP21" s="16" t="s">
        <v>15</v>
      </c>
      <c r="BQ21" s="59" t="s">
        <v>15</v>
      </c>
      <c r="BR21" s="124" t="s">
        <v>15</v>
      </c>
      <c r="BS21" s="59" t="s">
        <v>16</v>
      </c>
      <c r="BT21" s="261" t="s">
        <v>15</v>
      </c>
      <c r="BU21" s="16" t="s">
        <v>15</v>
      </c>
      <c r="BV21" s="16" t="s">
        <v>15</v>
      </c>
      <c r="BW21" s="16" t="s">
        <v>15</v>
      </c>
      <c r="BX21" s="22">
        <f t="shared" si="6"/>
        <v>0.8636363636</v>
      </c>
    </row>
    <row r="22">
      <c r="A22" s="277">
        <v>18.0</v>
      </c>
      <c r="B22" s="57"/>
      <c r="C22" s="112" t="s">
        <v>32</v>
      </c>
      <c r="D22" s="161" t="s">
        <v>15</v>
      </c>
      <c r="E22" s="161" t="s">
        <v>15</v>
      </c>
      <c r="F22" s="161" t="s">
        <v>15</v>
      </c>
      <c r="G22" s="16" t="s">
        <v>15</v>
      </c>
      <c r="H22" s="16" t="s">
        <v>16</v>
      </c>
      <c r="I22" s="16" t="s">
        <v>16</v>
      </c>
      <c r="J22" s="16" t="s">
        <v>15</v>
      </c>
      <c r="K22" s="16" t="s">
        <v>16</v>
      </c>
      <c r="L22" s="16" t="s">
        <v>15</v>
      </c>
      <c r="M22" s="16" t="s">
        <v>15</v>
      </c>
      <c r="N22" s="16" t="s">
        <v>15</v>
      </c>
      <c r="O22" s="16" t="s">
        <v>16</v>
      </c>
      <c r="P22" s="16" t="s">
        <v>15</v>
      </c>
      <c r="Q22" s="16" t="s">
        <v>16</v>
      </c>
      <c r="R22" s="16" t="s">
        <v>15</v>
      </c>
      <c r="S22" s="16" t="s">
        <v>16</v>
      </c>
      <c r="T22" s="16" t="s">
        <v>15</v>
      </c>
      <c r="U22" s="16" t="s">
        <v>15</v>
      </c>
      <c r="V22" s="16" t="s">
        <v>16</v>
      </c>
      <c r="W22" s="16" t="s">
        <v>15</v>
      </c>
      <c r="X22" s="22">
        <f t="shared" si="1"/>
        <v>0.65</v>
      </c>
      <c r="Y22" s="16" t="s">
        <v>15</v>
      </c>
      <c r="Z22" s="16" t="s">
        <v>15</v>
      </c>
      <c r="AA22" s="16" t="s">
        <v>15</v>
      </c>
      <c r="AB22" s="16" t="s">
        <v>15</v>
      </c>
      <c r="AC22" s="16" t="s">
        <v>15</v>
      </c>
      <c r="AD22" s="16" t="s">
        <v>15</v>
      </c>
      <c r="AE22" s="16" t="s">
        <v>15</v>
      </c>
      <c r="AF22" s="16" t="s">
        <v>16</v>
      </c>
      <c r="AG22" s="59" t="s">
        <v>15</v>
      </c>
      <c r="AH22" s="39" t="s">
        <v>15</v>
      </c>
      <c r="AI22" s="16" t="s">
        <v>15</v>
      </c>
      <c r="AJ22" s="16" t="s">
        <v>16</v>
      </c>
      <c r="AK22" s="16" t="s">
        <v>15</v>
      </c>
      <c r="AL22" s="16" t="s">
        <v>16</v>
      </c>
      <c r="AM22" s="16" t="s">
        <v>15</v>
      </c>
      <c r="AN22" s="16" t="s">
        <v>16</v>
      </c>
      <c r="AO22" s="16" t="s">
        <v>15</v>
      </c>
      <c r="AP22" s="16" t="s">
        <v>16</v>
      </c>
      <c r="AQ22" s="16" t="s">
        <v>15</v>
      </c>
      <c r="AR22" s="16" t="s">
        <v>16</v>
      </c>
      <c r="AS22" s="22">
        <f t="shared" si="2"/>
        <v>0.7</v>
      </c>
      <c r="AT22" s="16" t="s">
        <v>15</v>
      </c>
      <c r="AU22" s="16" t="s">
        <v>15</v>
      </c>
      <c r="AV22" s="16" t="s">
        <v>15</v>
      </c>
      <c r="AW22" s="16" t="s">
        <v>15</v>
      </c>
      <c r="AX22" s="16" t="s">
        <v>15</v>
      </c>
      <c r="AY22" s="16" t="s">
        <v>16</v>
      </c>
      <c r="AZ22" s="16" t="s">
        <v>16</v>
      </c>
      <c r="BA22" s="22">
        <f t="shared" si="5"/>
        <v>0.7142857143</v>
      </c>
      <c r="BB22" s="261" t="s">
        <v>16</v>
      </c>
      <c r="BC22" s="16" t="s">
        <v>15</v>
      </c>
      <c r="BD22" s="261" t="s">
        <v>15</v>
      </c>
      <c r="BE22" s="261" t="s">
        <v>15</v>
      </c>
      <c r="BF22" s="261" t="s">
        <v>16</v>
      </c>
      <c r="BG22" s="16" t="s">
        <v>15</v>
      </c>
      <c r="BH22" s="16" t="s">
        <v>15</v>
      </c>
      <c r="BI22" s="16" t="s">
        <v>15</v>
      </c>
      <c r="BJ22" s="16" t="s">
        <v>15</v>
      </c>
      <c r="BK22" s="16" t="s">
        <v>16</v>
      </c>
      <c r="BL22" s="16" t="s">
        <v>15</v>
      </c>
      <c r="BM22" s="16" t="s">
        <v>16</v>
      </c>
      <c r="BN22" s="261" t="s">
        <v>15</v>
      </c>
      <c r="BO22" s="261" t="s">
        <v>16</v>
      </c>
      <c r="BP22" s="16" t="s">
        <v>15</v>
      </c>
      <c r="BQ22" s="59" t="s">
        <v>15</v>
      </c>
      <c r="BR22" s="124" t="s">
        <v>15</v>
      </c>
      <c r="BS22" s="59" t="s">
        <v>16</v>
      </c>
      <c r="BT22" s="261" t="s">
        <v>15</v>
      </c>
      <c r="BU22" s="16" t="s">
        <v>15</v>
      </c>
      <c r="BV22" s="16" t="s">
        <v>15</v>
      </c>
      <c r="BW22" s="16" t="s">
        <v>15</v>
      </c>
      <c r="BX22" s="22">
        <f t="shared" si="6"/>
        <v>0.7272727273</v>
      </c>
    </row>
    <row r="23">
      <c r="A23" s="277">
        <v>19.0</v>
      </c>
      <c r="B23" s="55"/>
      <c r="C23" s="123"/>
      <c r="D23" s="161" t="s">
        <v>15</v>
      </c>
      <c r="E23" s="161" t="s">
        <v>15</v>
      </c>
      <c r="F23" s="161" t="s">
        <v>15</v>
      </c>
      <c r="G23" s="16" t="s">
        <v>15</v>
      </c>
      <c r="H23" s="16" t="s">
        <v>15</v>
      </c>
      <c r="I23" s="16" t="s">
        <v>15</v>
      </c>
      <c r="J23" s="16" t="s">
        <v>15</v>
      </c>
      <c r="K23" s="16" t="s">
        <v>15</v>
      </c>
      <c r="L23" s="16" t="s">
        <v>15</v>
      </c>
      <c r="M23" s="16" t="s">
        <v>15</v>
      </c>
      <c r="N23" s="16" t="s">
        <v>15</v>
      </c>
      <c r="O23" s="16" t="s">
        <v>15</v>
      </c>
      <c r="P23" s="16" t="s">
        <v>15</v>
      </c>
      <c r="Q23" s="16" t="s">
        <v>15</v>
      </c>
      <c r="R23" s="16" t="s">
        <v>16</v>
      </c>
      <c r="S23" s="16" t="s">
        <v>15</v>
      </c>
      <c r="T23" s="16" t="s">
        <v>15</v>
      </c>
      <c r="U23" s="16" t="s">
        <v>15</v>
      </c>
      <c r="V23" s="16" t="s">
        <v>15</v>
      </c>
      <c r="W23" s="16" t="s">
        <v>15</v>
      </c>
      <c r="X23" s="22">
        <f t="shared" si="1"/>
        <v>0.95</v>
      </c>
      <c r="Y23" s="16" t="s">
        <v>15</v>
      </c>
      <c r="Z23" s="16" t="s">
        <v>15</v>
      </c>
      <c r="AA23" s="16" t="s">
        <v>15</v>
      </c>
      <c r="AB23" s="16" t="s">
        <v>15</v>
      </c>
      <c r="AC23" s="16" t="s">
        <v>16</v>
      </c>
      <c r="AD23" s="16" t="s">
        <v>15</v>
      </c>
      <c r="AE23" s="16" t="s">
        <v>15</v>
      </c>
      <c r="AF23" s="16" t="s">
        <v>15</v>
      </c>
      <c r="AG23" s="59" t="s">
        <v>15</v>
      </c>
      <c r="AH23" s="39" t="s">
        <v>15</v>
      </c>
      <c r="AI23" s="16" t="s">
        <v>15</v>
      </c>
      <c r="AJ23" s="16" t="s">
        <v>15</v>
      </c>
      <c r="AK23" s="16" t="s">
        <v>15</v>
      </c>
      <c r="AL23" s="16" t="s">
        <v>15</v>
      </c>
      <c r="AM23" s="16" t="s">
        <v>15</v>
      </c>
      <c r="AN23" s="16" t="s">
        <v>15</v>
      </c>
      <c r="AO23" s="16" t="s">
        <v>15</v>
      </c>
      <c r="AP23" s="16" t="s">
        <v>15</v>
      </c>
      <c r="AQ23" s="16" t="s">
        <v>15</v>
      </c>
      <c r="AR23" s="16" t="s">
        <v>15</v>
      </c>
      <c r="AS23" s="22">
        <f t="shared" si="2"/>
        <v>0.95</v>
      </c>
      <c r="AT23" s="16" t="s">
        <v>15</v>
      </c>
      <c r="AU23" s="16" t="s">
        <v>15</v>
      </c>
      <c r="AV23" s="16" t="s">
        <v>15</v>
      </c>
      <c r="AW23" s="16" t="s">
        <v>16</v>
      </c>
      <c r="AX23" s="16" t="s">
        <v>15</v>
      </c>
      <c r="AY23" s="16" t="s">
        <v>15</v>
      </c>
      <c r="AZ23" s="16" t="s">
        <v>16</v>
      </c>
      <c r="BA23" s="22">
        <f t="shared" si="5"/>
        <v>0.7142857143</v>
      </c>
      <c r="BB23" s="261" t="s">
        <v>15</v>
      </c>
      <c r="BC23" s="16" t="s">
        <v>15</v>
      </c>
      <c r="BD23" s="261" t="s">
        <v>16</v>
      </c>
      <c r="BE23" s="261" t="s">
        <v>15</v>
      </c>
      <c r="BF23" s="261" t="s">
        <v>16</v>
      </c>
      <c r="BG23" s="16" t="s">
        <v>15</v>
      </c>
      <c r="BH23" s="16" t="s">
        <v>16</v>
      </c>
      <c r="BI23" s="16" t="s">
        <v>15</v>
      </c>
      <c r="BJ23" s="16" t="s">
        <v>16</v>
      </c>
      <c r="BK23" s="16" t="s">
        <v>16</v>
      </c>
      <c r="BL23" s="16" t="s">
        <v>16</v>
      </c>
      <c r="BM23" s="16" t="s">
        <v>15</v>
      </c>
      <c r="BN23" s="261" t="s">
        <v>15</v>
      </c>
      <c r="BO23" s="264" t="s">
        <v>15</v>
      </c>
      <c r="BP23" s="16" t="s">
        <v>15</v>
      </c>
      <c r="BQ23" s="59" t="s">
        <v>15</v>
      </c>
      <c r="BR23" s="124" t="s">
        <v>15</v>
      </c>
      <c r="BS23" s="59" t="s">
        <v>16</v>
      </c>
      <c r="BT23" s="261" t="s">
        <v>15</v>
      </c>
      <c r="BU23" s="16" t="s">
        <v>15</v>
      </c>
      <c r="BV23" s="16" t="s">
        <v>15</v>
      </c>
      <c r="BW23" s="16" t="s">
        <v>16</v>
      </c>
      <c r="BX23" s="22">
        <f t="shared" si="6"/>
        <v>0.6363636364</v>
      </c>
    </row>
    <row r="24">
      <c r="A24" s="277">
        <v>20.0</v>
      </c>
      <c r="B24" s="57"/>
      <c r="C24" s="290"/>
      <c r="D24" s="161" t="s">
        <v>15</v>
      </c>
      <c r="E24" s="161" t="s">
        <v>15</v>
      </c>
      <c r="F24" s="161" t="s">
        <v>15</v>
      </c>
      <c r="G24" s="16" t="s">
        <v>16</v>
      </c>
      <c r="H24" s="16" t="s">
        <v>16</v>
      </c>
      <c r="I24" s="16" t="s">
        <v>15</v>
      </c>
      <c r="J24" s="16" t="s">
        <v>15</v>
      </c>
      <c r="K24" s="16" t="s">
        <v>15</v>
      </c>
      <c r="L24" s="16" t="s">
        <v>16</v>
      </c>
      <c r="M24" s="16" t="s">
        <v>16</v>
      </c>
      <c r="N24" s="16" t="s">
        <v>15</v>
      </c>
      <c r="O24" s="16" t="s">
        <v>15</v>
      </c>
      <c r="P24" s="16" t="s">
        <v>15</v>
      </c>
      <c r="Q24" s="16" t="s">
        <v>15</v>
      </c>
      <c r="R24" s="16" t="s">
        <v>16</v>
      </c>
      <c r="S24" s="16" t="s">
        <v>16</v>
      </c>
      <c r="T24" s="16" t="s">
        <v>15</v>
      </c>
      <c r="U24" s="16" t="s">
        <v>16</v>
      </c>
      <c r="V24" s="16" t="s">
        <v>16</v>
      </c>
      <c r="W24" s="16" t="s">
        <v>16</v>
      </c>
      <c r="X24" s="22">
        <f t="shared" si="1"/>
        <v>0.55</v>
      </c>
      <c r="Y24" s="16" t="s">
        <v>15</v>
      </c>
      <c r="Z24" s="16" t="s">
        <v>15</v>
      </c>
      <c r="AA24" s="16" t="s">
        <v>16</v>
      </c>
      <c r="AB24" s="16" t="s">
        <v>16</v>
      </c>
      <c r="AC24" s="16" t="s">
        <v>15</v>
      </c>
      <c r="AD24" s="16" t="s">
        <v>15</v>
      </c>
      <c r="AE24" s="16" t="s">
        <v>16</v>
      </c>
      <c r="AF24" s="16" t="s">
        <v>16</v>
      </c>
      <c r="AG24" s="59" t="s">
        <v>16</v>
      </c>
      <c r="AH24" s="39" t="s">
        <v>15</v>
      </c>
      <c r="AI24" s="16" t="s">
        <v>16</v>
      </c>
      <c r="AJ24" s="16" t="s">
        <v>16</v>
      </c>
      <c r="AK24" s="16" t="s">
        <v>15</v>
      </c>
      <c r="AL24" s="16" t="s">
        <v>15</v>
      </c>
      <c r="AM24" s="16" t="s">
        <v>15</v>
      </c>
      <c r="AN24" s="16" t="s">
        <v>16</v>
      </c>
      <c r="AO24" s="16" t="s">
        <v>15</v>
      </c>
      <c r="AP24" s="16" t="s">
        <v>16</v>
      </c>
      <c r="AQ24" s="16" t="s">
        <v>16</v>
      </c>
      <c r="AR24" s="16" t="s">
        <v>15</v>
      </c>
      <c r="AS24" s="22">
        <f t="shared" si="2"/>
        <v>0.5</v>
      </c>
      <c r="AT24" s="16" t="s">
        <v>15</v>
      </c>
      <c r="AU24" s="16" t="s">
        <v>16</v>
      </c>
      <c r="AV24" s="16" t="s">
        <v>15</v>
      </c>
      <c r="AW24" s="16" t="s">
        <v>15</v>
      </c>
      <c r="AX24" s="16" t="s">
        <v>15</v>
      </c>
      <c r="AY24" s="16" t="s">
        <v>15</v>
      </c>
      <c r="AZ24" s="16" t="s">
        <v>15</v>
      </c>
      <c r="BA24" s="22">
        <f t="shared" si="5"/>
        <v>0.8571428571</v>
      </c>
      <c r="BB24" s="261" t="s">
        <v>15</v>
      </c>
      <c r="BC24" s="16" t="s">
        <v>16</v>
      </c>
      <c r="BD24" s="261" t="s">
        <v>15</v>
      </c>
      <c r="BE24" s="261" t="s">
        <v>15</v>
      </c>
      <c r="BF24" s="261" t="s">
        <v>16</v>
      </c>
      <c r="BG24" s="16" t="s">
        <v>15</v>
      </c>
      <c r="BH24" s="16" t="s">
        <v>16</v>
      </c>
      <c r="BI24" s="16" t="s">
        <v>15</v>
      </c>
      <c r="BJ24" s="16" t="s">
        <v>15</v>
      </c>
      <c r="BK24" s="16" t="s">
        <v>15</v>
      </c>
      <c r="BL24" s="16" t="s">
        <v>16</v>
      </c>
      <c r="BM24" s="16" t="s">
        <v>16</v>
      </c>
      <c r="BN24" s="261" t="s">
        <v>15</v>
      </c>
      <c r="BO24" s="261" t="s">
        <v>15</v>
      </c>
      <c r="BP24" s="16" t="s">
        <v>15</v>
      </c>
      <c r="BQ24" s="59" t="s">
        <v>15</v>
      </c>
      <c r="BR24" s="124" t="s">
        <v>15</v>
      </c>
      <c r="BS24" s="59" t="s">
        <v>16</v>
      </c>
      <c r="BT24" s="261" t="s">
        <v>15</v>
      </c>
      <c r="BU24" s="16" t="s">
        <v>15</v>
      </c>
      <c r="BV24" s="16" t="s">
        <v>15</v>
      </c>
      <c r="BW24" s="16" t="s">
        <v>16</v>
      </c>
      <c r="BX24" s="22">
        <f t="shared" si="6"/>
        <v>0.6818181818</v>
      </c>
    </row>
    <row r="25">
      <c r="A25" s="277">
        <v>21.0</v>
      </c>
      <c r="B25" s="81"/>
      <c r="C25" s="93" t="s">
        <v>32</v>
      </c>
      <c r="D25" s="161" t="s">
        <v>15</v>
      </c>
      <c r="E25" s="161" t="s">
        <v>15</v>
      </c>
      <c r="F25" s="161" t="s">
        <v>15</v>
      </c>
      <c r="G25" s="16" t="s">
        <v>15</v>
      </c>
      <c r="H25" s="16" t="s">
        <v>15</v>
      </c>
      <c r="I25" s="16" t="s">
        <v>15</v>
      </c>
      <c r="J25" s="16" t="s">
        <v>15</v>
      </c>
      <c r="K25" s="16" t="s">
        <v>15</v>
      </c>
      <c r="L25" s="16" t="s">
        <v>15</v>
      </c>
      <c r="M25" s="16" t="s">
        <v>15</v>
      </c>
      <c r="N25" s="16" t="s">
        <v>15</v>
      </c>
      <c r="O25" s="16" t="s">
        <v>16</v>
      </c>
      <c r="P25" s="16" t="s">
        <v>15</v>
      </c>
      <c r="Q25" s="16" t="s">
        <v>15</v>
      </c>
      <c r="R25" s="17" t="s">
        <v>15</v>
      </c>
      <c r="S25" s="16" t="s">
        <v>15</v>
      </c>
      <c r="T25" s="16" t="s">
        <v>15</v>
      </c>
      <c r="U25" s="17" t="s">
        <v>16</v>
      </c>
      <c r="V25" s="17" t="s">
        <v>15</v>
      </c>
      <c r="W25" s="17" t="s">
        <v>16</v>
      </c>
      <c r="X25" s="22">
        <f t="shared" si="1"/>
        <v>0.85</v>
      </c>
      <c r="Y25" s="16" t="s">
        <v>15</v>
      </c>
      <c r="Z25" s="16" t="s">
        <v>16</v>
      </c>
      <c r="AA25" s="16" t="s">
        <v>15</v>
      </c>
      <c r="AB25" s="16" t="s">
        <v>15</v>
      </c>
      <c r="AC25" s="16" t="s">
        <v>15</v>
      </c>
      <c r="AD25" s="16" t="s">
        <v>16</v>
      </c>
      <c r="AE25" s="16" t="s">
        <v>15</v>
      </c>
      <c r="AF25" s="16" t="s">
        <v>15</v>
      </c>
      <c r="AG25" s="59" t="s">
        <v>15</v>
      </c>
      <c r="AH25" s="39" t="s">
        <v>15</v>
      </c>
      <c r="AI25" s="16" t="s">
        <v>15</v>
      </c>
      <c r="AJ25" s="16" t="s">
        <v>15</v>
      </c>
      <c r="AK25" s="16" t="s">
        <v>15</v>
      </c>
      <c r="AL25" s="16" t="s">
        <v>15</v>
      </c>
      <c r="AM25" s="16" t="s">
        <v>15</v>
      </c>
      <c r="AN25" s="16" t="s">
        <v>16</v>
      </c>
      <c r="AO25" s="16" t="s">
        <v>15</v>
      </c>
      <c r="AP25" s="16" t="s">
        <v>16</v>
      </c>
      <c r="AQ25" s="16" t="s">
        <v>16</v>
      </c>
      <c r="AR25" s="16" t="s">
        <v>15</v>
      </c>
      <c r="AS25" s="22">
        <f t="shared" si="2"/>
        <v>0.75</v>
      </c>
      <c r="AT25" s="16" t="s">
        <v>15</v>
      </c>
      <c r="AU25" s="16" t="s">
        <v>16</v>
      </c>
      <c r="AV25" s="16" t="s">
        <v>15</v>
      </c>
      <c r="AW25" s="16" t="s">
        <v>15</v>
      </c>
      <c r="AX25" s="16" t="s">
        <v>16</v>
      </c>
      <c r="AY25" s="16" t="s">
        <v>15</v>
      </c>
      <c r="AZ25" s="16" t="s">
        <v>15</v>
      </c>
      <c r="BA25" s="22">
        <f t="shared" si="5"/>
        <v>0.7142857143</v>
      </c>
      <c r="BB25" s="261" t="s">
        <v>15</v>
      </c>
      <c r="BC25" s="16" t="s">
        <v>16</v>
      </c>
      <c r="BD25" s="261" t="s">
        <v>15</v>
      </c>
      <c r="BE25" s="261" t="s">
        <v>15</v>
      </c>
      <c r="BF25" s="261" t="s">
        <v>16</v>
      </c>
      <c r="BG25" s="16" t="s">
        <v>16</v>
      </c>
      <c r="BH25" s="16" t="s">
        <v>16</v>
      </c>
      <c r="BI25" s="16" t="s">
        <v>15</v>
      </c>
      <c r="BJ25" s="16" t="s">
        <v>15</v>
      </c>
      <c r="BK25" s="16" t="s">
        <v>16</v>
      </c>
      <c r="BL25" s="16" t="s">
        <v>15</v>
      </c>
      <c r="BM25" s="16" t="s">
        <v>15</v>
      </c>
      <c r="BN25" s="261" t="s">
        <v>16</v>
      </c>
      <c r="BO25" s="261" t="s">
        <v>16</v>
      </c>
      <c r="BP25" s="16" t="s">
        <v>15</v>
      </c>
      <c r="BQ25" s="59" t="s">
        <v>15</v>
      </c>
      <c r="BR25" s="124" t="s">
        <v>15</v>
      </c>
      <c r="BS25" s="59" t="s">
        <v>16</v>
      </c>
      <c r="BT25" s="261" t="s">
        <v>15</v>
      </c>
      <c r="BU25" s="16" t="s">
        <v>15</v>
      </c>
      <c r="BV25" s="16" t="s">
        <v>16</v>
      </c>
      <c r="BW25" s="16" t="s">
        <v>15</v>
      </c>
      <c r="BX25" s="22">
        <f t="shared" si="6"/>
        <v>0.5909090909</v>
      </c>
    </row>
    <row r="26">
      <c r="A26" s="277">
        <v>22.0</v>
      </c>
      <c r="B26" s="81"/>
      <c r="C26" s="126"/>
      <c r="D26" s="161" t="s">
        <v>15</v>
      </c>
      <c r="E26" s="161" t="s">
        <v>15</v>
      </c>
      <c r="F26" s="161" t="s">
        <v>15</v>
      </c>
      <c r="G26" s="16" t="s">
        <v>15</v>
      </c>
      <c r="H26" s="16" t="s">
        <v>15</v>
      </c>
      <c r="I26" s="16" t="s">
        <v>15</v>
      </c>
      <c r="J26" s="16" t="s">
        <v>15</v>
      </c>
      <c r="K26" s="16" t="s">
        <v>15</v>
      </c>
      <c r="L26" s="16" t="s">
        <v>15</v>
      </c>
      <c r="M26" s="16" t="s">
        <v>15</v>
      </c>
      <c r="N26" s="16" t="s">
        <v>15</v>
      </c>
      <c r="O26" s="16" t="s">
        <v>16</v>
      </c>
      <c r="P26" s="16" t="s">
        <v>15</v>
      </c>
      <c r="Q26" s="16" t="s">
        <v>15</v>
      </c>
      <c r="R26" s="17" t="s">
        <v>16</v>
      </c>
      <c r="S26" s="16" t="s">
        <v>15</v>
      </c>
      <c r="T26" s="16" t="s">
        <v>15</v>
      </c>
      <c r="U26" s="17" t="s">
        <v>15</v>
      </c>
      <c r="V26" s="17" t="s">
        <v>15</v>
      </c>
      <c r="W26" s="17" t="s">
        <v>16</v>
      </c>
      <c r="X26" s="22">
        <f t="shared" si="1"/>
        <v>0.85</v>
      </c>
      <c r="Y26" s="16" t="s">
        <v>15</v>
      </c>
      <c r="Z26" s="16" t="s">
        <v>15</v>
      </c>
      <c r="AA26" s="16" t="s">
        <v>15</v>
      </c>
      <c r="AB26" s="16" t="s">
        <v>15</v>
      </c>
      <c r="AC26" s="16" t="s">
        <v>15</v>
      </c>
      <c r="AD26" s="16" t="s">
        <v>16</v>
      </c>
      <c r="AE26" s="16" t="s">
        <v>16</v>
      </c>
      <c r="AF26" s="16" t="s">
        <v>15</v>
      </c>
      <c r="AG26" s="59" t="s">
        <v>15</v>
      </c>
      <c r="AH26" s="39" t="s">
        <v>15</v>
      </c>
      <c r="AI26" s="16" t="s">
        <v>15</v>
      </c>
      <c r="AJ26" s="16" t="s">
        <v>15</v>
      </c>
      <c r="AK26" s="16" t="s">
        <v>15</v>
      </c>
      <c r="AL26" s="16" t="s">
        <v>15</v>
      </c>
      <c r="AM26" s="16" t="s">
        <v>16</v>
      </c>
      <c r="AN26" s="16" t="s">
        <v>15</v>
      </c>
      <c r="AO26" s="16" t="s">
        <v>15</v>
      </c>
      <c r="AP26" s="16" t="s">
        <v>15</v>
      </c>
      <c r="AQ26" s="16" t="s">
        <v>15</v>
      </c>
      <c r="AR26" s="16" t="s">
        <v>15</v>
      </c>
      <c r="AS26" s="22">
        <f t="shared" si="2"/>
        <v>0.85</v>
      </c>
      <c r="AT26" s="16" t="s">
        <v>15</v>
      </c>
      <c r="AU26" s="16" t="s">
        <v>16</v>
      </c>
      <c r="AV26" s="16" t="s">
        <v>15</v>
      </c>
      <c r="AW26" s="16" t="s">
        <v>16</v>
      </c>
      <c r="AX26" s="16" t="s">
        <v>15</v>
      </c>
      <c r="AY26" s="16" t="s">
        <v>16</v>
      </c>
      <c r="AZ26" s="16" t="s">
        <v>16</v>
      </c>
      <c r="BA26" s="22">
        <f t="shared" si="5"/>
        <v>0.4285714286</v>
      </c>
      <c r="BB26" s="261" t="s">
        <v>15</v>
      </c>
      <c r="BC26" s="16" t="s">
        <v>15</v>
      </c>
      <c r="BD26" s="261" t="s">
        <v>16</v>
      </c>
      <c r="BE26" s="261" t="s">
        <v>15</v>
      </c>
      <c r="BF26" s="261" t="s">
        <v>16</v>
      </c>
      <c r="BG26" s="16" t="s">
        <v>16</v>
      </c>
      <c r="BH26" s="154" t="s">
        <v>16</v>
      </c>
      <c r="BI26" s="154" t="s">
        <v>15</v>
      </c>
      <c r="BJ26" s="16" t="s">
        <v>16</v>
      </c>
      <c r="BK26" s="16" t="s">
        <v>16</v>
      </c>
      <c r="BL26" s="16" t="s">
        <v>15</v>
      </c>
      <c r="BM26" s="16" t="s">
        <v>16</v>
      </c>
      <c r="BN26" s="261" t="s">
        <v>15</v>
      </c>
      <c r="BO26" s="261" t="s">
        <v>15</v>
      </c>
      <c r="BP26" s="16" t="s">
        <v>15</v>
      </c>
      <c r="BQ26" s="59" t="s">
        <v>15</v>
      </c>
      <c r="BR26" s="124" t="s">
        <v>15</v>
      </c>
      <c r="BS26" s="59" t="s">
        <v>16</v>
      </c>
      <c r="BT26" s="261" t="s">
        <v>15</v>
      </c>
      <c r="BU26" s="16" t="s">
        <v>15</v>
      </c>
      <c r="BV26" s="16" t="s">
        <v>15</v>
      </c>
      <c r="BW26" s="16" t="s">
        <v>16</v>
      </c>
      <c r="BX26" s="22">
        <f t="shared" si="6"/>
        <v>0.5909090909</v>
      </c>
    </row>
    <row r="27">
      <c r="A27" s="277">
        <v>23.0</v>
      </c>
      <c r="B27" s="81"/>
      <c r="C27" s="126"/>
      <c r="D27" s="161" t="s">
        <v>15</v>
      </c>
      <c r="E27" s="161" t="s">
        <v>15</v>
      </c>
      <c r="F27" s="161" t="s">
        <v>15</v>
      </c>
      <c r="G27" s="16" t="s">
        <v>15</v>
      </c>
      <c r="H27" s="16" t="s">
        <v>15</v>
      </c>
      <c r="I27" s="16" t="s">
        <v>15</v>
      </c>
      <c r="J27" s="16" t="s">
        <v>15</v>
      </c>
      <c r="K27" s="16" t="s">
        <v>15</v>
      </c>
      <c r="L27" s="16" t="s">
        <v>16</v>
      </c>
      <c r="M27" s="16" t="s">
        <v>15</v>
      </c>
      <c r="N27" s="16" t="s">
        <v>15</v>
      </c>
      <c r="O27" s="16" t="s">
        <v>15</v>
      </c>
      <c r="P27" s="16" t="s">
        <v>15</v>
      </c>
      <c r="Q27" s="16" t="s">
        <v>15</v>
      </c>
      <c r="R27" s="16" t="s">
        <v>15</v>
      </c>
      <c r="S27" s="16" t="s">
        <v>15</v>
      </c>
      <c r="T27" s="16" t="s">
        <v>15</v>
      </c>
      <c r="U27" s="16" t="s">
        <v>16</v>
      </c>
      <c r="V27" s="16" t="s">
        <v>15</v>
      </c>
      <c r="W27" s="16" t="s">
        <v>15</v>
      </c>
      <c r="X27" s="22">
        <f t="shared" si="1"/>
        <v>0.9</v>
      </c>
      <c r="Y27" s="16" t="s">
        <v>15</v>
      </c>
      <c r="Z27" s="16" t="s">
        <v>15</v>
      </c>
      <c r="AA27" s="16" t="s">
        <v>15</v>
      </c>
      <c r="AB27" s="16" t="s">
        <v>15</v>
      </c>
      <c r="AC27" s="16" t="s">
        <v>16</v>
      </c>
      <c r="AD27" s="16" t="s">
        <v>15</v>
      </c>
      <c r="AE27" s="16" t="s">
        <v>15</v>
      </c>
      <c r="AF27" s="16" t="s">
        <v>15</v>
      </c>
      <c r="AG27" s="59" t="s">
        <v>15</v>
      </c>
      <c r="AH27" s="39" t="s">
        <v>15</v>
      </c>
      <c r="AI27" s="16" t="s">
        <v>15</v>
      </c>
      <c r="AJ27" s="16" t="s">
        <v>15</v>
      </c>
      <c r="AK27" s="16" t="s">
        <v>15</v>
      </c>
      <c r="AL27" s="16" t="s">
        <v>16</v>
      </c>
      <c r="AM27" s="16" t="s">
        <v>16</v>
      </c>
      <c r="AN27" s="16" t="s">
        <v>15</v>
      </c>
      <c r="AO27" s="16" t="s">
        <v>16</v>
      </c>
      <c r="AP27" s="16" t="s">
        <v>15</v>
      </c>
      <c r="AQ27" s="16" t="s">
        <v>15</v>
      </c>
      <c r="AR27" s="16" t="s">
        <v>15</v>
      </c>
      <c r="AS27" s="22">
        <f t="shared" si="2"/>
        <v>0.8</v>
      </c>
      <c r="AT27" s="16" t="s">
        <v>15</v>
      </c>
      <c r="AU27" s="16" t="s">
        <v>15</v>
      </c>
      <c r="AV27" s="16" t="s">
        <v>15</v>
      </c>
      <c r="AW27" s="16" t="s">
        <v>15</v>
      </c>
      <c r="AX27" s="16" t="s">
        <v>15</v>
      </c>
      <c r="AY27" s="16" t="s">
        <v>16</v>
      </c>
      <c r="AZ27" s="16" t="s">
        <v>15</v>
      </c>
      <c r="BA27" s="22">
        <f t="shared" si="5"/>
        <v>0.8571428571</v>
      </c>
      <c r="BB27" s="261" t="s">
        <v>15</v>
      </c>
      <c r="BC27" s="16" t="s">
        <v>15</v>
      </c>
      <c r="BD27" s="261" t="s">
        <v>15</v>
      </c>
      <c r="BE27" s="261" t="s">
        <v>16</v>
      </c>
      <c r="BF27" s="261" t="s">
        <v>16</v>
      </c>
      <c r="BG27" s="154" t="s">
        <v>15</v>
      </c>
      <c r="BH27" s="154" t="s">
        <v>16</v>
      </c>
      <c r="BI27" s="154" t="s">
        <v>15</v>
      </c>
      <c r="BJ27" s="16" t="s">
        <v>15</v>
      </c>
      <c r="BK27" s="16" t="s">
        <v>15</v>
      </c>
      <c r="BL27" s="16" t="s">
        <v>15</v>
      </c>
      <c r="BM27" s="16" t="s">
        <v>15</v>
      </c>
      <c r="BN27" s="261" t="s">
        <v>15</v>
      </c>
      <c r="BO27" s="261" t="s">
        <v>15</v>
      </c>
      <c r="BP27" s="16" t="s">
        <v>15</v>
      </c>
      <c r="BQ27" s="59" t="s">
        <v>15</v>
      </c>
      <c r="BR27" s="124" t="s">
        <v>15</v>
      </c>
      <c r="BS27" s="59" t="s">
        <v>15</v>
      </c>
      <c r="BT27" s="261" t="s">
        <v>15</v>
      </c>
      <c r="BU27" s="16" t="s">
        <v>15</v>
      </c>
      <c r="BV27" s="16" t="s">
        <v>15</v>
      </c>
      <c r="BW27" s="16" t="s">
        <v>15</v>
      </c>
      <c r="BX27" s="22">
        <f t="shared" si="6"/>
        <v>0.8636363636</v>
      </c>
    </row>
    <row r="28">
      <c r="A28" s="277">
        <v>24.0</v>
      </c>
      <c r="B28" s="62"/>
      <c r="C28" s="126"/>
      <c r="D28" s="161" t="s">
        <v>15</v>
      </c>
      <c r="E28" s="161" t="s">
        <v>15</v>
      </c>
      <c r="F28" s="161" t="s">
        <v>15</v>
      </c>
      <c r="G28" s="16" t="s">
        <v>15</v>
      </c>
      <c r="H28" s="16" t="s">
        <v>15</v>
      </c>
      <c r="I28" s="16" t="s">
        <v>15</v>
      </c>
      <c r="J28" s="16" t="s">
        <v>15</v>
      </c>
      <c r="K28" s="16" t="s">
        <v>15</v>
      </c>
      <c r="L28" s="16" t="s">
        <v>15</v>
      </c>
      <c r="M28" s="16" t="s">
        <v>16</v>
      </c>
      <c r="N28" s="16" t="s">
        <v>15</v>
      </c>
      <c r="O28" s="16" t="s">
        <v>15</v>
      </c>
      <c r="P28" s="16" t="s">
        <v>15</v>
      </c>
      <c r="Q28" s="16" t="s">
        <v>15</v>
      </c>
      <c r="R28" s="17" t="s">
        <v>16</v>
      </c>
      <c r="S28" s="16" t="s">
        <v>15</v>
      </c>
      <c r="T28" s="16" t="s">
        <v>15</v>
      </c>
      <c r="U28" s="17" t="s">
        <v>15</v>
      </c>
      <c r="V28" s="17" t="s">
        <v>16</v>
      </c>
      <c r="W28" s="17" t="s">
        <v>16</v>
      </c>
      <c r="X28" s="22">
        <f t="shared" si="1"/>
        <v>0.8</v>
      </c>
      <c r="Y28" s="16" t="s">
        <v>15</v>
      </c>
      <c r="Z28" s="16" t="s">
        <v>15</v>
      </c>
      <c r="AA28" s="16" t="s">
        <v>16</v>
      </c>
      <c r="AB28" s="16" t="s">
        <v>16</v>
      </c>
      <c r="AC28" s="16" t="s">
        <v>15</v>
      </c>
      <c r="AD28" s="16" t="s">
        <v>16</v>
      </c>
      <c r="AE28" s="16" t="s">
        <v>15</v>
      </c>
      <c r="AF28" s="16" t="s">
        <v>15</v>
      </c>
      <c r="AG28" s="59" t="s">
        <v>16</v>
      </c>
      <c r="AH28" s="39" t="s">
        <v>15</v>
      </c>
      <c r="AI28" s="16" t="s">
        <v>15</v>
      </c>
      <c r="AJ28" s="16" t="s">
        <v>15</v>
      </c>
      <c r="AK28" s="16" t="s">
        <v>15</v>
      </c>
      <c r="AL28" s="16" t="s">
        <v>16</v>
      </c>
      <c r="AM28" s="16" t="s">
        <v>15</v>
      </c>
      <c r="AN28" s="16" t="s">
        <v>15</v>
      </c>
      <c r="AO28" s="16" t="s">
        <v>15</v>
      </c>
      <c r="AP28" s="16" t="s">
        <v>15</v>
      </c>
      <c r="AQ28" s="16" t="s">
        <v>16</v>
      </c>
      <c r="AR28" s="16" t="s">
        <v>16</v>
      </c>
      <c r="AS28" s="22">
        <f t="shared" si="2"/>
        <v>0.65</v>
      </c>
      <c r="AT28" s="16" t="s">
        <v>15</v>
      </c>
      <c r="AU28" s="16" t="s">
        <v>15</v>
      </c>
      <c r="AV28" s="16" t="s">
        <v>15</v>
      </c>
      <c r="AW28" s="16" t="s">
        <v>15</v>
      </c>
      <c r="AX28" s="16" t="s">
        <v>16</v>
      </c>
      <c r="AY28" s="16" t="s">
        <v>16</v>
      </c>
      <c r="AZ28" s="16" t="s">
        <v>15</v>
      </c>
      <c r="BA28" s="22">
        <f t="shared" si="5"/>
        <v>0.7142857143</v>
      </c>
      <c r="BB28" s="261" t="s">
        <v>15</v>
      </c>
      <c r="BC28" s="16" t="s">
        <v>15</v>
      </c>
      <c r="BD28" s="261" t="s">
        <v>15</v>
      </c>
      <c r="BE28" s="261" t="s">
        <v>15</v>
      </c>
      <c r="BF28" s="261" t="s">
        <v>16</v>
      </c>
      <c r="BG28" s="154" t="s">
        <v>15</v>
      </c>
      <c r="BH28" s="154" t="s">
        <v>15</v>
      </c>
      <c r="BI28" s="154" t="s">
        <v>15</v>
      </c>
      <c r="BJ28" s="16" t="s">
        <v>15</v>
      </c>
      <c r="BK28" s="16" t="s">
        <v>16</v>
      </c>
      <c r="BL28" s="16" t="s">
        <v>15</v>
      </c>
      <c r="BM28" s="16" t="s">
        <v>15</v>
      </c>
      <c r="BN28" s="261" t="s">
        <v>16</v>
      </c>
      <c r="BO28" s="261" t="s">
        <v>15</v>
      </c>
      <c r="BP28" s="16" t="s">
        <v>15</v>
      </c>
      <c r="BQ28" s="59" t="s">
        <v>15</v>
      </c>
      <c r="BR28" s="124" t="s">
        <v>15</v>
      </c>
      <c r="BS28" s="59" t="s">
        <v>15</v>
      </c>
      <c r="BT28" s="261" t="s">
        <v>16</v>
      </c>
      <c r="BU28" s="16" t="s">
        <v>15</v>
      </c>
      <c r="BV28" s="16" t="s">
        <v>15</v>
      </c>
      <c r="BW28" s="16" t="s">
        <v>16</v>
      </c>
      <c r="BX28" s="22">
        <f t="shared" si="6"/>
        <v>0.7727272727</v>
      </c>
    </row>
    <row r="29">
      <c r="A29" s="277">
        <v>25.0</v>
      </c>
      <c r="B29" s="62"/>
      <c r="C29" s="127"/>
      <c r="D29" s="161" t="s">
        <v>15</v>
      </c>
      <c r="E29" s="161" t="s">
        <v>15</v>
      </c>
      <c r="F29" s="161" t="s">
        <v>15</v>
      </c>
      <c r="G29" s="16" t="s">
        <v>15</v>
      </c>
      <c r="H29" s="16" t="s">
        <v>15</v>
      </c>
      <c r="I29" s="16" t="s">
        <v>15</v>
      </c>
      <c r="J29" s="16" t="s">
        <v>15</v>
      </c>
      <c r="K29" s="16" t="s">
        <v>15</v>
      </c>
      <c r="L29" s="16" t="s">
        <v>15</v>
      </c>
      <c r="M29" s="16" t="s">
        <v>15</v>
      </c>
      <c r="N29" s="16" t="s">
        <v>15</v>
      </c>
      <c r="O29" s="16" t="s">
        <v>15</v>
      </c>
      <c r="P29" s="16" t="s">
        <v>15</v>
      </c>
      <c r="Q29" s="16" t="s">
        <v>15</v>
      </c>
      <c r="R29" s="17" t="s">
        <v>15</v>
      </c>
      <c r="S29" s="16" t="s">
        <v>15</v>
      </c>
      <c r="T29" s="16" t="s">
        <v>15</v>
      </c>
      <c r="U29" s="17" t="s">
        <v>15</v>
      </c>
      <c r="V29" s="17" t="s">
        <v>15</v>
      </c>
      <c r="W29" s="17" t="s">
        <v>15</v>
      </c>
      <c r="X29" s="22">
        <f t="shared" si="1"/>
        <v>1</v>
      </c>
      <c r="Y29" s="16" t="s">
        <v>15</v>
      </c>
      <c r="Z29" s="16" t="s">
        <v>15</v>
      </c>
      <c r="AA29" s="16" t="s">
        <v>15</v>
      </c>
      <c r="AB29" s="16" t="s">
        <v>15</v>
      </c>
      <c r="AC29" s="16" t="s">
        <v>15</v>
      </c>
      <c r="AD29" s="16" t="s">
        <v>15</v>
      </c>
      <c r="AE29" s="16" t="s">
        <v>15</v>
      </c>
      <c r="AF29" s="16" t="s">
        <v>15</v>
      </c>
      <c r="AG29" s="59" t="s">
        <v>15</v>
      </c>
      <c r="AH29" s="39" t="s">
        <v>15</v>
      </c>
      <c r="AI29" s="16" t="s">
        <v>15</v>
      </c>
      <c r="AJ29" s="16" t="s">
        <v>15</v>
      </c>
      <c r="AK29" s="16" t="s">
        <v>15</v>
      </c>
      <c r="AL29" s="16" t="s">
        <v>15</v>
      </c>
      <c r="AM29" s="16" t="s">
        <v>15</v>
      </c>
      <c r="AN29" s="16" t="s">
        <v>15</v>
      </c>
      <c r="AO29" s="16" t="s">
        <v>15</v>
      </c>
      <c r="AP29" s="16" t="s">
        <v>15</v>
      </c>
      <c r="AQ29" s="16" t="s">
        <v>15</v>
      </c>
      <c r="AR29" s="16" t="s">
        <v>15</v>
      </c>
      <c r="AS29" s="22">
        <f t="shared" si="2"/>
        <v>1</v>
      </c>
      <c r="AT29" s="16" t="s">
        <v>15</v>
      </c>
      <c r="AU29" s="16" t="s">
        <v>15</v>
      </c>
      <c r="AV29" s="16" t="s">
        <v>15</v>
      </c>
      <c r="AW29" s="16" t="s">
        <v>15</v>
      </c>
      <c r="AX29" s="16" t="s">
        <v>15</v>
      </c>
      <c r="AY29" s="16" t="s">
        <v>15</v>
      </c>
      <c r="AZ29" s="16" t="s">
        <v>15</v>
      </c>
      <c r="BA29" s="22">
        <f t="shared" si="5"/>
        <v>1</v>
      </c>
      <c r="BB29" s="261" t="s">
        <v>15</v>
      </c>
      <c r="BC29" s="16" t="s">
        <v>15</v>
      </c>
      <c r="BD29" s="261" t="s">
        <v>15</v>
      </c>
      <c r="BE29" s="261" t="s">
        <v>15</v>
      </c>
      <c r="BF29" s="264" t="s">
        <v>15</v>
      </c>
      <c r="BG29" s="154" t="s">
        <v>15</v>
      </c>
      <c r="BH29" s="154" t="s">
        <v>16</v>
      </c>
      <c r="BI29" s="154" t="s">
        <v>15</v>
      </c>
      <c r="BJ29" s="16" t="s">
        <v>15</v>
      </c>
      <c r="BK29" s="16" t="s">
        <v>15</v>
      </c>
      <c r="BL29" s="16" t="s">
        <v>15</v>
      </c>
      <c r="BM29" s="16" t="s">
        <v>15</v>
      </c>
      <c r="BN29" s="261" t="s">
        <v>15</v>
      </c>
      <c r="BO29" s="261" t="s">
        <v>15</v>
      </c>
      <c r="BP29" s="16" t="s">
        <v>15</v>
      </c>
      <c r="BQ29" s="59" t="s">
        <v>15</v>
      </c>
      <c r="BR29" s="124" t="s">
        <v>15</v>
      </c>
      <c r="BS29" s="59" t="s">
        <v>15</v>
      </c>
      <c r="BT29" s="261" t="s">
        <v>15</v>
      </c>
      <c r="BU29" s="16" t="s">
        <v>15</v>
      </c>
      <c r="BV29" s="16" t="s">
        <v>15</v>
      </c>
      <c r="BW29" s="16" t="s">
        <v>15</v>
      </c>
      <c r="BX29" s="22">
        <f t="shared" si="6"/>
        <v>0.9545454545</v>
      </c>
    </row>
    <row r="30">
      <c r="A30" s="277">
        <v>26.0</v>
      </c>
      <c r="B30" s="81"/>
      <c r="C30" s="126"/>
      <c r="D30" s="161" t="s">
        <v>15</v>
      </c>
      <c r="E30" s="161" t="s">
        <v>15</v>
      </c>
      <c r="F30" s="161" t="s">
        <v>15</v>
      </c>
      <c r="G30" s="16" t="s">
        <v>15</v>
      </c>
      <c r="H30" s="16" t="s">
        <v>15</v>
      </c>
      <c r="I30" s="16" t="s">
        <v>15</v>
      </c>
      <c r="J30" s="16" t="s">
        <v>15</v>
      </c>
      <c r="K30" s="16" t="s">
        <v>15</v>
      </c>
      <c r="L30" s="16" t="s">
        <v>15</v>
      </c>
      <c r="M30" s="16" t="s">
        <v>15</v>
      </c>
      <c r="N30" s="16" t="s">
        <v>15</v>
      </c>
      <c r="O30" s="16" t="s">
        <v>15</v>
      </c>
      <c r="P30" s="16" t="s">
        <v>15</v>
      </c>
      <c r="Q30" s="16" t="s">
        <v>16</v>
      </c>
      <c r="R30" s="17" t="s">
        <v>15</v>
      </c>
      <c r="S30" s="16" t="s">
        <v>15</v>
      </c>
      <c r="T30" s="16" t="s">
        <v>15</v>
      </c>
      <c r="U30" s="17" t="s">
        <v>15</v>
      </c>
      <c r="V30" s="17" t="s">
        <v>15</v>
      </c>
      <c r="W30" s="17" t="s">
        <v>15</v>
      </c>
      <c r="X30" s="22">
        <f t="shared" si="1"/>
        <v>0.95</v>
      </c>
      <c r="Y30" s="16" t="s">
        <v>15</v>
      </c>
      <c r="Z30" s="16" t="s">
        <v>15</v>
      </c>
      <c r="AA30" s="16" t="s">
        <v>15</v>
      </c>
      <c r="AB30" s="16" t="s">
        <v>15</v>
      </c>
      <c r="AC30" s="16" t="s">
        <v>15</v>
      </c>
      <c r="AD30" s="16" t="s">
        <v>15</v>
      </c>
      <c r="AE30" s="16" t="s">
        <v>16</v>
      </c>
      <c r="AF30" s="16" t="s">
        <v>15</v>
      </c>
      <c r="AG30" s="59" t="s">
        <v>15</v>
      </c>
      <c r="AH30" s="59" t="s">
        <v>16</v>
      </c>
      <c r="AI30" s="16" t="s">
        <v>15</v>
      </c>
      <c r="AJ30" s="16" t="s">
        <v>15</v>
      </c>
      <c r="AK30" s="16" t="s">
        <v>15</v>
      </c>
      <c r="AL30" s="16" t="s">
        <v>15</v>
      </c>
      <c r="AM30" s="16" t="s">
        <v>15</v>
      </c>
      <c r="AN30" s="16" t="s">
        <v>16</v>
      </c>
      <c r="AO30" s="16" t="s">
        <v>15</v>
      </c>
      <c r="AP30" s="16" t="s">
        <v>15</v>
      </c>
      <c r="AQ30" s="16" t="s">
        <v>16</v>
      </c>
      <c r="AR30" s="16" t="s">
        <v>15</v>
      </c>
      <c r="AS30" s="22">
        <f t="shared" si="2"/>
        <v>0.8</v>
      </c>
      <c r="AT30" s="16" t="s">
        <v>15</v>
      </c>
      <c r="AU30" s="16" t="s">
        <v>15</v>
      </c>
      <c r="AV30" s="16" t="s">
        <v>15</v>
      </c>
      <c r="AW30" s="16" t="s">
        <v>16</v>
      </c>
      <c r="AX30" s="16" t="s">
        <v>15</v>
      </c>
      <c r="AY30" s="16" t="s">
        <v>15</v>
      </c>
      <c r="AZ30" s="16" t="s">
        <v>16</v>
      </c>
      <c r="BA30" s="22">
        <f t="shared" si="5"/>
        <v>0.7142857143</v>
      </c>
      <c r="BB30" s="261" t="s">
        <v>15</v>
      </c>
      <c r="BC30" s="16" t="s">
        <v>15</v>
      </c>
      <c r="BD30" s="261" t="s">
        <v>16</v>
      </c>
      <c r="BE30" s="261" t="s">
        <v>15</v>
      </c>
      <c r="BF30" s="261" t="s">
        <v>16</v>
      </c>
      <c r="BG30" s="154" t="s">
        <v>16</v>
      </c>
      <c r="BH30" s="154" t="s">
        <v>16</v>
      </c>
      <c r="BI30" s="154" t="s">
        <v>15</v>
      </c>
      <c r="BJ30" s="16" t="s">
        <v>15</v>
      </c>
      <c r="BK30" s="16" t="s">
        <v>15</v>
      </c>
      <c r="BL30" s="16" t="s">
        <v>15</v>
      </c>
      <c r="BM30" s="16" t="s">
        <v>15</v>
      </c>
      <c r="BN30" s="261" t="s">
        <v>15</v>
      </c>
      <c r="BO30" s="261" t="s">
        <v>16</v>
      </c>
      <c r="BP30" s="16" t="s">
        <v>15</v>
      </c>
      <c r="BQ30" s="59" t="s">
        <v>15</v>
      </c>
      <c r="BR30" s="124" t="s">
        <v>15</v>
      </c>
      <c r="BS30" s="59" t="s">
        <v>16</v>
      </c>
      <c r="BT30" s="261" t="s">
        <v>15</v>
      </c>
      <c r="BU30" s="16" t="s">
        <v>15</v>
      </c>
      <c r="BV30" s="16" t="s">
        <v>15</v>
      </c>
      <c r="BW30" s="16" t="s">
        <v>16</v>
      </c>
      <c r="BX30" s="22">
        <f t="shared" si="6"/>
        <v>0.6818181818</v>
      </c>
    </row>
    <row r="31">
      <c r="A31" s="281">
        <v>27.0</v>
      </c>
      <c r="B31" s="310"/>
      <c r="C31" s="287" t="s">
        <v>77</v>
      </c>
      <c r="D31" s="214" t="s">
        <v>20</v>
      </c>
      <c r="E31" s="214" t="s">
        <v>20</v>
      </c>
      <c r="F31" s="214" t="s">
        <v>20</v>
      </c>
      <c r="G31" s="214" t="s">
        <v>20</v>
      </c>
      <c r="H31" s="214" t="s">
        <v>20</v>
      </c>
      <c r="I31" s="271" t="s">
        <v>20</v>
      </c>
      <c r="J31" s="214" t="s">
        <v>20</v>
      </c>
      <c r="K31" s="271" t="s">
        <v>20</v>
      </c>
      <c r="L31" s="214" t="s">
        <v>20</v>
      </c>
      <c r="M31" s="214" t="s">
        <v>20</v>
      </c>
      <c r="N31" s="214" t="s">
        <v>20</v>
      </c>
      <c r="O31" s="214" t="s">
        <v>20</v>
      </c>
      <c r="P31" s="214" t="s">
        <v>20</v>
      </c>
      <c r="Q31" s="214" t="s">
        <v>20</v>
      </c>
      <c r="R31" s="214" t="s">
        <v>20</v>
      </c>
      <c r="S31" s="214" t="s">
        <v>20</v>
      </c>
      <c r="T31" s="214" t="s">
        <v>20</v>
      </c>
      <c r="U31" s="214" t="s">
        <v>20</v>
      </c>
      <c r="V31" s="214" t="s">
        <v>20</v>
      </c>
      <c r="W31" s="214" t="s">
        <v>20</v>
      </c>
      <c r="X31" s="48" t="str">
        <f t="shared" si="1"/>
        <v>0,00%</v>
      </c>
      <c r="Y31" s="271" t="s">
        <v>20</v>
      </c>
      <c r="Z31" s="271" t="s">
        <v>20</v>
      </c>
      <c r="AA31" s="271" t="s">
        <v>20</v>
      </c>
      <c r="AB31" s="271" t="s">
        <v>20</v>
      </c>
      <c r="AC31" s="271" t="s">
        <v>20</v>
      </c>
      <c r="AD31" s="271" t="s">
        <v>20</v>
      </c>
      <c r="AE31" s="271" t="s">
        <v>20</v>
      </c>
      <c r="AF31" s="271" t="s">
        <v>20</v>
      </c>
      <c r="AG31" s="249" t="s">
        <v>20</v>
      </c>
      <c r="AH31" s="249" t="s">
        <v>20</v>
      </c>
      <c r="AI31" s="271" t="s">
        <v>20</v>
      </c>
      <c r="AJ31" s="271" t="s">
        <v>20</v>
      </c>
      <c r="AK31" s="271" t="s">
        <v>20</v>
      </c>
      <c r="AL31" s="271" t="s">
        <v>20</v>
      </c>
      <c r="AM31" s="271" t="s">
        <v>20</v>
      </c>
      <c r="AN31" s="271" t="s">
        <v>20</v>
      </c>
      <c r="AO31" s="271" t="s">
        <v>20</v>
      </c>
      <c r="AP31" s="271" t="s">
        <v>20</v>
      </c>
      <c r="AQ31" s="271" t="s">
        <v>20</v>
      </c>
      <c r="AR31" s="271" t="s">
        <v>20</v>
      </c>
      <c r="AS31" s="48" t="str">
        <f t="shared" si="2"/>
        <v>0,00%</v>
      </c>
      <c r="AT31" s="214"/>
      <c r="AU31" s="214"/>
      <c r="AV31" s="214"/>
      <c r="AW31" s="214"/>
      <c r="AX31" s="271" t="s">
        <v>20</v>
      </c>
      <c r="AY31" s="214"/>
      <c r="AZ31" s="214"/>
      <c r="BA31" s="48" t="str">
        <f t="shared" si="5"/>
        <v>0,00%</v>
      </c>
      <c r="BB31" s="274" t="s">
        <v>20</v>
      </c>
      <c r="BC31" s="274" t="s">
        <v>20</v>
      </c>
      <c r="BD31" s="274" t="s">
        <v>20</v>
      </c>
      <c r="BE31" s="274" t="s">
        <v>20</v>
      </c>
      <c r="BF31" s="274" t="s">
        <v>20</v>
      </c>
      <c r="BG31" s="274" t="s">
        <v>20</v>
      </c>
      <c r="BH31" s="274" t="s">
        <v>20</v>
      </c>
      <c r="BI31" s="274" t="s">
        <v>20</v>
      </c>
      <c r="BJ31" s="274" t="s">
        <v>20</v>
      </c>
      <c r="BK31" s="274" t="s">
        <v>20</v>
      </c>
      <c r="BL31" s="274" t="s">
        <v>20</v>
      </c>
      <c r="BM31" s="274" t="s">
        <v>20</v>
      </c>
      <c r="BN31" s="274" t="s">
        <v>20</v>
      </c>
      <c r="BO31" s="274" t="s">
        <v>20</v>
      </c>
      <c r="BP31" s="274" t="s">
        <v>20</v>
      </c>
      <c r="BQ31" s="274" t="s">
        <v>20</v>
      </c>
      <c r="BR31" s="274" t="s">
        <v>20</v>
      </c>
      <c r="BS31" s="274" t="s">
        <v>20</v>
      </c>
      <c r="BT31" s="274" t="s">
        <v>20</v>
      </c>
      <c r="BU31" s="274" t="s">
        <v>20</v>
      </c>
      <c r="BV31" s="274" t="s">
        <v>20</v>
      </c>
      <c r="BW31" s="271" t="s">
        <v>20</v>
      </c>
      <c r="BX31" s="48" t="str">
        <f t="shared" si="6"/>
        <v>0,00%</v>
      </c>
    </row>
    <row r="32">
      <c r="A32" s="277">
        <v>28.0</v>
      </c>
      <c r="B32" s="62"/>
      <c r="C32" s="126"/>
      <c r="D32" s="161" t="s">
        <v>15</v>
      </c>
      <c r="E32" s="161" t="s">
        <v>15</v>
      </c>
      <c r="F32" s="161" t="s">
        <v>15</v>
      </c>
      <c r="G32" s="16" t="s">
        <v>15</v>
      </c>
      <c r="H32" s="16" t="s">
        <v>15</v>
      </c>
      <c r="I32" s="16" t="s">
        <v>16</v>
      </c>
      <c r="J32" s="16" t="s">
        <v>15</v>
      </c>
      <c r="K32" s="16" t="s">
        <v>15</v>
      </c>
      <c r="L32" s="16" t="s">
        <v>15</v>
      </c>
      <c r="M32" s="16" t="s">
        <v>15</v>
      </c>
      <c r="N32" s="16" t="s">
        <v>15</v>
      </c>
      <c r="O32" s="16" t="s">
        <v>15</v>
      </c>
      <c r="P32" s="16" t="s">
        <v>15</v>
      </c>
      <c r="Q32" s="16" t="s">
        <v>16</v>
      </c>
      <c r="R32" s="16" t="s">
        <v>15</v>
      </c>
      <c r="S32" s="16" t="s">
        <v>15</v>
      </c>
      <c r="T32" s="16" t="s">
        <v>15</v>
      </c>
      <c r="U32" s="16" t="s">
        <v>15</v>
      </c>
      <c r="V32" s="16" t="s">
        <v>15</v>
      </c>
      <c r="W32" s="16" t="s">
        <v>16</v>
      </c>
      <c r="X32" s="22">
        <f t="shared" si="1"/>
        <v>0.85</v>
      </c>
      <c r="Y32" s="16" t="s">
        <v>15</v>
      </c>
      <c r="Z32" s="16" t="s">
        <v>15</v>
      </c>
      <c r="AA32" s="16" t="s">
        <v>15</v>
      </c>
      <c r="AB32" s="16" t="s">
        <v>15</v>
      </c>
      <c r="AC32" s="16" t="s">
        <v>15</v>
      </c>
      <c r="AD32" s="16" t="s">
        <v>15</v>
      </c>
      <c r="AE32" s="16" t="s">
        <v>16</v>
      </c>
      <c r="AF32" s="16" t="s">
        <v>15</v>
      </c>
      <c r="AG32" s="59" t="s">
        <v>15</v>
      </c>
      <c r="AH32" s="39" t="s">
        <v>15</v>
      </c>
      <c r="AI32" s="16" t="s">
        <v>15</v>
      </c>
      <c r="AJ32" s="16" t="s">
        <v>15</v>
      </c>
      <c r="AK32" s="16" t="s">
        <v>16</v>
      </c>
      <c r="AL32" s="16" t="s">
        <v>15</v>
      </c>
      <c r="AM32" s="16" t="s">
        <v>15</v>
      </c>
      <c r="AN32" s="16" t="s">
        <v>16</v>
      </c>
      <c r="AO32" s="16" t="s">
        <v>15</v>
      </c>
      <c r="AP32" s="16" t="s">
        <v>15</v>
      </c>
      <c r="AQ32" s="16" t="s">
        <v>15</v>
      </c>
      <c r="AR32" s="16" t="s">
        <v>15</v>
      </c>
      <c r="AS32" s="22">
        <f t="shared" si="2"/>
        <v>0.85</v>
      </c>
      <c r="AT32" s="16" t="s">
        <v>15</v>
      </c>
      <c r="AU32" s="16" t="s">
        <v>16</v>
      </c>
      <c r="AV32" s="16" t="s">
        <v>15</v>
      </c>
      <c r="AW32" s="16" t="s">
        <v>15</v>
      </c>
      <c r="AX32" s="16" t="s">
        <v>15</v>
      </c>
      <c r="AY32" s="16" t="s">
        <v>15</v>
      </c>
      <c r="AZ32" s="16" t="s">
        <v>15</v>
      </c>
      <c r="BA32" s="22">
        <f t="shared" si="5"/>
        <v>0.8571428571</v>
      </c>
      <c r="BB32" s="261" t="s">
        <v>15</v>
      </c>
      <c r="BC32" s="16" t="s">
        <v>15</v>
      </c>
      <c r="BD32" s="261" t="s">
        <v>15</v>
      </c>
      <c r="BE32" s="261" t="s">
        <v>15</v>
      </c>
      <c r="BF32" s="261" t="s">
        <v>16</v>
      </c>
      <c r="BG32" s="152" t="s">
        <v>15</v>
      </c>
      <c r="BH32" s="16" t="s">
        <v>16</v>
      </c>
      <c r="BI32" s="16" t="s">
        <v>15</v>
      </c>
      <c r="BJ32" s="16" t="s">
        <v>15</v>
      </c>
      <c r="BK32" s="16" t="s">
        <v>15</v>
      </c>
      <c r="BL32" s="16" t="s">
        <v>15</v>
      </c>
      <c r="BM32" s="16" t="s">
        <v>15</v>
      </c>
      <c r="BN32" s="261" t="s">
        <v>15</v>
      </c>
      <c r="BO32" s="261" t="s">
        <v>16</v>
      </c>
      <c r="BP32" s="16" t="s">
        <v>15</v>
      </c>
      <c r="BQ32" s="59" t="s">
        <v>15</v>
      </c>
      <c r="BR32" s="124" t="s">
        <v>15</v>
      </c>
      <c r="BS32" s="59" t="s">
        <v>16</v>
      </c>
      <c r="BT32" s="261" t="s">
        <v>15</v>
      </c>
      <c r="BU32" s="16" t="s">
        <v>15</v>
      </c>
      <c r="BV32" s="16" t="s">
        <v>15</v>
      </c>
      <c r="BW32" s="16" t="s">
        <v>15</v>
      </c>
      <c r="BX32" s="22">
        <f t="shared" si="6"/>
        <v>0.8181818182</v>
      </c>
    </row>
    <row r="33">
      <c r="A33" s="277">
        <v>29.0</v>
      </c>
      <c r="B33" s="167"/>
      <c r="C33" s="127"/>
      <c r="D33" s="161" t="s">
        <v>15</v>
      </c>
      <c r="E33" s="161" t="s">
        <v>15</v>
      </c>
      <c r="F33" s="161" t="s">
        <v>15</v>
      </c>
      <c r="G33" s="16" t="s">
        <v>15</v>
      </c>
      <c r="H33" s="16" t="s">
        <v>15</v>
      </c>
      <c r="I33" s="16" t="s">
        <v>15</v>
      </c>
      <c r="J33" s="16" t="s">
        <v>15</v>
      </c>
      <c r="K33" s="16" t="s">
        <v>15</v>
      </c>
      <c r="L33" s="16" t="s">
        <v>15</v>
      </c>
      <c r="M33" s="16" t="s">
        <v>16</v>
      </c>
      <c r="N33" s="16" t="s">
        <v>15</v>
      </c>
      <c r="O33" s="16" t="s">
        <v>15</v>
      </c>
      <c r="P33" s="16" t="s">
        <v>15</v>
      </c>
      <c r="Q33" s="16" t="s">
        <v>15</v>
      </c>
      <c r="R33" s="16" t="s">
        <v>15</v>
      </c>
      <c r="S33" s="16" t="s">
        <v>15</v>
      </c>
      <c r="T33" s="16" t="s">
        <v>15</v>
      </c>
      <c r="U33" s="16" t="s">
        <v>15</v>
      </c>
      <c r="V33" s="16" t="s">
        <v>15</v>
      </c>
      <c r="W33" s="16" t="s">
        <v>16</v>
      </c>
      <c r="X33" s="22">
        <f t="shared" si="1"/>
        <v>0.9</v>
      </c>
      <c r="Y33" s="16" t="s">
        <v>15</v>
      </c>
      <c r="Z33" s="16" t="s">
        <v>15</v>
      </c>
      <c r="AA33" s="16" t="s">
        <v>15</v>
      </c>
      <c r="AB33" s="16" t="s">
        <v>15</v>
      </c>
      <c r="AC33" s="16" t="s">
        <v>15</v>
      </c>
      <c r="AD33" s="16" t="s">
        <v>15</v>
      </c>
      <c r="AE33" s="16" t="s">
        <v>15</v>
      </c>
      <c r="AF33" s="16" t="s">
        <v>15</v>
      </c>
      <c r="AG33" s="59" t="s">
        <v>15</v>
      </c>
      <c r="AH33" s="39" t="s">
        <v>15</v>
      </c>
      <c r="AI33" s="16" t="s">
        <v>15</v>
      </c>
      <c r="AJ33" s="16" t="s">
        <v>15</v>
      </c>
      <c r="AK33" s="16" t="s">
        <v>15</v>
      </c>
      <c r="AL33" s="16" t="s">
        <v>15</v>
      </c>
      <c r="AM33" s="16" t="s">
        <v>15</v>
      </c>
      <c r="AN33" s="16" t="s">
        <v>16</v>
      </c>
      <c r="AO33" s="16" t="s">
        <v>15</v>
      </c>
      <c r="AP33" s="16" t="s">
        <v>15</v>
      </c>
      <c r="AQ33" s="16" t="s">
        <v>15</v>
      </c>
      <c r="AR33" s="16" t="s">
        <v>15</v>
      </c>
      <c r="AS33" s="22">
        <f t="shared" si="2"/>
        <v>0.95</v>
      </c>
      <c r="AT33" s="16" t="s">
        <v>15</v>
      </c>
      <c r="AU33" s="16" t="s">
        <v>16</v>
      </c>
      <c r="AV33" s="16" t="s">
        <v>15</v>
      </c>
      <c r="AW33" s="16" t="s">
        <v>16</v>
      </c>
      <c r="AX33" s="16" t="s">
        <v>16</v>
      </c>
      <c r="AY33" s="16" t="s">
        <v>15</v>
      </c>
      <c r="AZ33" s="16" t="s">
        <v>15</v>
      </c>
      <c r="BA33" s="22">
        <f t="shared" si="5"/>
        <v>0.5714285714</v>
      </c>
      <c r="BB33" s="261" t="s">
        <v>15</v>
      </c>
      <c r="BC33" s="16" t="s">
        <v>15</v>
      </c>
      <c r="BD33" s="261" t="s">
        <v>16</v>
      </c>
      <c r="BE33" s="261" t="s">
        <v>15</v>
      </c>
      <c r="BF33" s="261" t="s">
        <v>16</v>
      </c>
      <c r="BG33" s="152" t="s">
        <v>15</v>
      </c>
      <c r="BH33" s="16" t="s">
        <v>15</v>
      </c>
      <c r="BI33" s="16" t="s">
        <v>15</v>
      </c>
      <c r="BJ33" s="16" t="s">
        <v>15</v>
      </c>
      <c r="BK33" s="16" t="s">
        <v>15</v>
      </c>
      <c r="BL33" s="16" t="s">
        <v>15</v>
      </c>
      <c r="BM33" s="16" t="s">
        <v>15</v>
      </c>
      <c r="BN33" s="261" t="s">
        <v>15</v>
      </c>
      <c r="BO33" s="261" t="s">
        <v>15</v>
      </c>
      <c r="BP33" s="16" t="s">
        <v>15</v>
      </c>
      <c r="BQ33" s="59" t="s">
        <v>15</v>
      </c>
      <c r="BR33" s="124" t="s">
        <v>15</v>
      </c>
      <c r="BS33" s="59" t="s">
        <v>16</v>
      </c>
      <c r="BT33" s="261" t="s">
        <v>15</v>
      </c>
      <c r="BU33" s="16" t="s">
        <v>15</v>
      </c>
      <c r="BV33" s="16" t="s">
        <v>16</v>
      </c>
      <c r="BW33" s="16" t="s">
        <v>16</v>
      </c>
      <c r="BX33" s="22">
        <f t="shared" si="6"/>
        <v>0.7727272727</v>
      </c>
    </row>
    <row r="34">
      <c r="A34" s="277">
        <v>30.0</v>
      </c>
      <c r="B34" s="62"/>
      <c r="C34" s="127"/>
      <c r="D34" s="161" t="s">
        <v>15</v>
      </c>
      <c r="E34" s="161" t="s">
        <v>15</v>
      </c>
      <c r="F34" s="161" t="s">
        <v>15</v>
      </c>
      <c r="G34" s="16" t="s">
        <v>15</v>
      </c>
      <c r="H34" s="16" t="s">
        <v>15</v>
      </c>
      <c r="I34" s="16" t="s">
        <v>15</v>
      </c>
      <c r="J34" s="16" t="s">
        <v>15</v>
      </c>
      <c r="K34" s="16" t="s">
        <v>15</v>
      </c>
      <c r="L34" s="16" t="s">
        <v>15</v>
      </c>
      <c r="M34" s="16" t="s">
        <v>15</v>
      </c>
      <c r="N34" s="16" t="s">
        <v>15</v>
      </c>
      <c r="O34" s="16" t="s">
        <v>16</v>
      </c>
      <c r="P34" s="16" t="s">
        <v>15</v>
      </c>
      <c r="Q34" s="16" t="s">
        <v>15</v>
      </c>
      <c r="R34" s="16" t="s">
        <v>15</v>
      </c>
      <c r="S34" s="16" t="s">
        <v>15</v>
      </c>
      <c r="T34" s="16" t="s">
        <v>15</v>
      </c>
      <c r="U34" s="16" t="s">
        <v>15</v>
      </c>
      <c r="V34" s="16" t="s">
        <v>15</v>
      </c>
      <c r="W34" s="16" t="s">
        <v>15</v>
      </c>
      <c r="X34" s="22">
        <f t="shared" si="1"/>
        <v>0.95</v>
      </c>
      <c r="Y34" s="16" t="s">
        <v>15</v>
      </c>
      <c r="Z34" s="16" t="s">
        <v>15</v>
      </c>
      <c r="AA34" s="16" t="s">
        <v>16</v>
      </c>
      <c r="AB34" s="16" t="s">
        <v>16</v>
      </c>
      <c r="AC34" s="16" t="s">
        <v>15</v>
      </c>
      <c r="AD34" s="16" t="s">
        <v>16</v>
      </c>
      <c r="AE34" s="16" t="s">
        <v>15</v>
      </c>
      <c r="AF34" s="16" t="s">
        <v>15</v>
      </c>
      <c r="AG34" s="59" t="s">
        <v>16</v>
      </c>
      <c r="AH34" s="39" t="s">
        <v>15</v>
      </c>
      <c r="AI34" s="16" t="s">
        <v>15</v>
      </c>
      <c r="AJ34" s="16" t="s">
        <v>16</v>
      </c>
      <c r="AK34" s="16" t="s">
        <v>15</v>
      </c>
      <c r="AL34" s="16" t="s">
        <v>15</v>
      </c>
      <c r="AM34" s="16" t="s">
        <v>16</v>
      </c>
      <c r="AN34" s="16" t="s">
        <v>16</v>
      </c>
      <c r="AO34" s="16" t="s">
        <v>15</v>
      </c>
      <c r="AP34" s="16" t="s">
        <v>16</v>
      </c>
      <c r="AQ34" s="16" t="s">
        <v>15</v>
      </c>
      <c r="AR34" s="16" t="s">
        <v>15</v>
      </c>
      <c r="AS34" s="22">
        <f t="shared" si="2"/>
        <v>0.6</v>
      </c>
      <c r="AT34" s="16" t="s">
        <v>16</v>
      </c>
      <c r="AU34" s="16" t="s">
        <v>15</v>
      </c>
      <c r="AV34" s="16" t="s">
        <v>15</v>
      </c>
      <c r="AW34" s="16" t="s">
        <v>15</v>
      </c>
      <c r="AX34" s="16" t="s">
        <v>16</v>
      </c>
      <c r="AY34" s="16" t="s">
        <v>16</v>
      </c>
      <c r="AZ34" s="16" t="s">
        <v>15</v>
      </c>
      <c r="BA34" s="22">
        <f t="shared" si="5"/>
        <v>0.5714285714</v>
      </c>
      <c r="BB34" s="261" t="s">
        <v>15</v>
      </c>
      <c r="BC34" s="16" t="s">
        <v>15</v>
      </c>
      <c r="BD34" s="261" t="s">
        <v>15</v>
      </c>
      <c r="BE34" s="261" t="s">
        <v>15</v>
      </c>
      <c r="BF34" s="261" t="s">
        <v>16</v>
      </c>
      <c r="BG34" s="152" t="s">
        <v>15</v>
      </c>
      <c r="BH34" s="16" t="s">
        <v>16</v>
      </c>
      <c r="BI34" s="16" t="s">
        <v>15</v>
      </c>
      <c r="BJ34" s="16" t="s">
        <v>15</v>
      </c>
      <c r="BK34" s="16" t="s">
        <v>15</v>
      </c>
      <c r="BL34" s="16" t="s">
        <v>15</v>
      </c>
      <c r="BM34" s="16" t="s">
        <v>15</v>
      </c>
      <c r="BN34" s="261" t="s">
        <v>15</v>
      </c>
      <c r="BO34" s="261" t="s">
        <v>16</v>
      </c>
      <c r="BP34" s="16" t="s">
        <v>15</v>
      </c>
      <c r="BQ34" s="59" t="s">
        <v>15</v>
      </c>
      <c r="BR34" s="124" t="s">
        <v>15</v>
      </c>
      <c r="BS34" s="59" t="s">
        <v>15</v>
      </c>
      <c r="BT34" s="261" t="s">
        <v>16</v>
      </c>
      <c r="BU34" s="16" t="s">
        <v>15</v>
      </c>
      <c r="BV34" s="16" t="s">
        <v>16</v>
      </c>
      <c r="BW34" s="16" t="s">
        <v>15</v>
      </c>
      <c r="BX34" s="22">
        <f t="shared" si="6"/>
        <v>0.7727272727</v>
      </c>
    </row>
    <row r="35">
      <c r="A35" s="277">
        <v>31.0</v>
      </c>
      <c r="B35" s="62"/>
      <c r="C35" s="127"/>
      <c r="D35" s="161" t="s">
        <v>15</v>
      </c>
      <c r="E35" s="161" t="s">
        <v>15</v>
      </c>
      <c r="F35" s="161" t="s">
        <v>15</v>
      </c>
      <c r="G35" s="16" t="s">
        <v>15</v>
      </c>
      <c r="H35" s="16" t="s">
        <v>16</v>
      </c>
      <c r="I35" s="16" t="s">
        <v>16</v>
      </c>
      <c r="J35" s="16" t="s">
        <v>15</v>
      </c>
      <c r="K35" s="16" t="s">
        <v>15</v>
      </c>
      <c r="L35" s="16" t="s">
        <v>15</v>
      </c>
      <c r="M35" s="16" t="s">
        <v>15</v>
      </c>
      <c r="N35" s="16" t="s">
        <v>15</v>
      </c>
      <c r="O35" s="16" t="s">
        <v>15</v>
      </c>
      <c r="P35" s="16" t="s">
        <v>16</v>
      </c>
      <c r="Q35" s="16" t="s">
        <v>16</v>
      </c>
      <c r="R35" s="16" t="s">
        <v>16</v>
      </c>
      <c r="S35" s="16" t="s">
        <v>15</v>
      </c>
      <c r="T35" s="59" t="s">
        <v>16</v>
      </c>
      <c r="U35" s="16" t="s">
        <v>16</v>
      </c>
      <c r="V35" s="16" t="s">
        <v>16</v>
      </c>
      <c r="W35" s="16" t="s">
        <v>16</v>
      </c>
      <c r="X35" s="22">
        <f t="shared" si="1"/>
        <v>0.55</v>
      </c>
      <c r="Y35" s="16" t="s">
        <v>15</v>
      </c>
      <c r="Z35" s="16" t="s">
        <v>15</v>
      </c>
      <c r="AA35" s="16" t="s">
        <v>15</v>
      </c>
      <c r="AB35" s="16" t="s">
        <v>15</v>
      </c>
      <c r="AC35" s="16" t="s">
        <v>15</v>
      </c>
      <c r="AD35" s="16" t="s">
        <v>15</v>
      </c>
      <c r="AE35" s="16" t="s">
        <v>15</v>
      </c>
      <c r="AF35" s="16" t="s">
        <v>15</v>
      </c>
      <c r="AG35" s="59" t="s">
        <v>15</v>
      </c>
      <c r="AH35" s="39" t="s">
        <v>15</v>
      </c>
      <c r="AI35" s="16" t="s">
        <v>15</v>
      </c>
      <c r="AJ35" s="16" t="s">
        <v>15</v>
      </c>
      <c r="AK35" s="16" t="s">
        <v>16</v>
      </c>
      <c r="AL35" s="16" t="s">
        <v>15</v>
      </c>
      <c r="AM35" s="16" t="s">
        <v>16</v>
      </c>
      <c r="AN35" s="16" t="s">
        <v>16</v>
      </c>
      <c r="AO35" s="16" t="s">
        <v>15</v>
      </c>
      <c r="AP35" s="16" t="s">
        <v>16</v>
      </c>
      <c r="AQ35" s="16" t="s">
        <v>15</v>
      </c>
      <c r="AR35" s="16" t="s">
        <v>15</v>
      </c>
      <c r="AS35" s="22">
        <f t="shared" si="2"/>
        <v>0.8</v>
      </c>
      <c r="AT35" s="16" t="s">
        <v>16</v>
      </c>
      <c r="AU35" s="16" t="s">
        <v>16</v>
      </c>
      <c r="AV35" s="16" t="s">
        <v>15</v>
      </c>
      <c r="AW35" s="16" t="s">
        <v>15</v>
      </c>
      <c r="AX35" s="16" t="s">
        <v>15</v>
      </c>
      <c r="AY35" s="16" t="s">
        <v>15</v>
      </c>
      <c r="AZ35" s="16" t="s">
        <v>15</v>
      </c>
      <c r="BA35" s="22">
        <f t="shared" si="5"/>
        <v>0.7142857143</v>
      </c>
      <c r="BB35" s="261" t="s">
        <v>15</v>
      </c>
      <c r="BC35" s="16" t="s">
        <v>15</v>
      </c>
      <c r="BD35" s="261" t="s">
        <v>16</v>
      </c>
      <c r="BE35" s="261" t="s">
        <v>15</v>
      </c>
      <c r="BF35" s="261" t="s">
        <v>16</v>
      </c>
      <c r="BG35" s="152" t="s">
        <v>15</v>
      </c>
      <c r="BH35" s="16" t="s">
        <v>15</v>
      </c>
      <c r="BI35" s="16" t="s">
        <v>16</v>
      </c>
      <c r="BJ35" s="16" t="s">
        <v>15</v>
      </c>
      <c r="BK35" s="16" t="s">
        <v>16</v>
      </c>
      <c r="BL35" s="16" t="s">
        <v>15</v>
      </c>
      <c r="BM35" s="16" t="s">
        <v>15</v>
      </c>
      <c r="BN35" s="261" t="s">
        <v>16</v>
      </c>
      <c r="BO35" s="261" t="s">
        <v>15</v>
      </c>
      <c r="BP35" s="16" t="s">
        <v>15</v>
      </c>
      <c r="BQ35" s="59" t="s">
        <v>15</v>
      </c>
      <c r="BR35" s="124" t="s">
        <v>15</v>
      </c>
      <c r="BS35" s="59" t="s">
        <v>16</v>
      </c>
      <c r="BT35" s="261" t="s">
        <v>15</v>
      </c>
      <c r="BU35" s="16" t="s">
        <v>15</v>
      </c>
      <c r="BV35" s="16" t="s">
        <v>15</v>
      </c>
      <c r="BW35" s="16" t="s">
        <v>16</v>
      </c>
      <c r="BX35" s="22">
        <f t="shared" si="6"/>
        <v>0.6818181818</v>
      </c>
    </row>
    <row r="36">
      <c r="A36" s="251">
        <v>32.0</v>
      </c>
      <c r="B36" s="62"/>
      <c r="C36" s="126"/>
      <c r="D36" s="161" t="s">
        <v>15</v>
      </c>
      <c r="E36" s="161" t="s">
        <v>16</v>
      </c>
      <c r="F36" s="161" t="s">
        <v>15</v>
      </c>
      <c r="G36" s="16" t="s">
        <v>16</v>
      </c>
      <c r="H36" s="16" t="s">
        <v>16</v>
      </c>
      <c r="I36" s="16" t="s">
        <v>15</v>
      </c>
      <c r="J36" s="16" t="s">
        <v>15</v>
      </c>
      <c r="K36" s="16" t="s">
        <v>15</v>
      </c>
      <c r="L36" s="16" t="s">
        <v>15</v>
      </c>
      <c r="M36" s="16" t="s">
        <v>16</v>
      </c>
      <c r="N36" s="16" t="s">
        <v>15</v>
      </c>
      <c r="O36" s="16" t="s">
        <v>15</v>
      </c>
      <c r="P36" s="16" t="s">
        <v>15</v>
      </c>
      <c r="Q36" s="16" t="s">
        <v>16</v>
      </c>
      <c r="R36" s="16" t="s">
        <v>16</v>
      </c>
      <c r="S36" s="16" t="s">
        <v>15</v>
      </c>
      <c r="T36" s="16" t="s">
        <v>15</v>
      </c>
      <c r="U36" s="16" t="s">
        <v>15</v>
      </c>
      <c r="V36" s="16" t="s">
        <v>15</v>
      </c>
      <c r="W36" s="16" t="s">
        <v>16</v>
      </c>
      <c r="X36" s="22">
        <f t="shared" si="1"/>
        <v>0.65</v>
      </c>
      <c r="Y36" s="16" t="s">
        <v>15</v>
      </c>
      <c r="Z36" s="16" t="s">
        <v>15</v>
      </c>
      <c r="AA36" s="16" t="s">
        <v>15</v>
      </c>
      <c r="AB36" s="16" t="s">
        <v>15</v>
      </c>
      <c r="AC36" s="16" t="s">
        <v>15</v>
      </c>
      <c r="AD36" s="16" t="s">
        <v>15</v>
      </c>
      <c r="AE36" s="16" t="s">
        <v>15</v>
      </c>
      <c r="AF36" s="16" t="s">
        <v>15</v>
      </c>
      <c r="AG36" s="59" t="s">
        <v>15</v>
      </c>
      <c r="AH36" s="39" t="s">
        <v>15</v>
      </c>
      <c r="AI36" s="16" t="s">
        <v>15</v>
      </c>
      <c r="AJ36" s="16" t="s">
        <v>15</v>
      </c>
      <c r="AK36" s="16" t="s">
        <v>16</v>
      </c>
      <c r="AL36" s="16" t="s">
        <v>15</v>
      </c>
      <c r="AM36" s="16" t="s">
        <v>15</v>
      </c>
      <c r="AN36" s="16" t="s">
        <v>15</v>
      </c>
      <c r="AO36" s="16" t="s">
        <v>15</v>
      </c>
      <c r="AP36" s="16" t="s">
        <v>15</v>
      </c>
      <c r="AQ36" s="16" t="s">
        <v>15</v>
      </c>
      <c r="AR36" s="16" t="s">
        <v>15</v>
      </c>
      <c r="AS36" s="22">
        <f t="shared" si="2"/>
        <v>0.95</v>
      </c>
      <c r="AT36" s="16" t="s">
        <v>15</v>
      </c>
      <c r="AU36" s="16" t="s">
        <v>15</v>
      </c>
      <c r="AV36" s="16" t="s">
        <v>15</v>
      </c>
      <c r="AW36" s="16" t="s">
        <v>15</v>
      </c>
      <c r="AX36" s="16" t="s">
        <v>15</v>
      </c>
      <c r="AY36" s="16" t="s">
        <v>15</v>
      </c>
      <c r="AZ36" s="16" t="s">
        <v>15</v>
      </c>
      <c r="BA36" s="22">
        <f t="shared" si="5"/>
        <v>1</v>
      </c>
      <c r="BB36" s="261" t="s">
        <v>15</v>
      </c>
      <c r="BC36" s="16" t="s">
        <v>15</v>
      </c>
      <c r="BD36" s="261" t="s">
        <v>15</v>
      </c>
      <c r="BE36" s="261" t="s">
        <v>16</v>
      </c>
      <c r="BF36" s="264" t="s">
        <v>15</v>
      </c>
      <c r="BG36" s="152" t="s">
        <v>15</v>
      </c>
      <c r="BH36" s="16" t="s">
        <v>15</v>
      </c>
      <c r="BI36" s="16" t="s">
        <v>15</v>
      </c>
      <c r="BJ36" s="16" t="s">
        <v>15</v>
      </c>
      <c r="BK36" s="16" t="s">
        <v>16</v>
      </c>
      <c r="BL36" s="16" t="s">
        <v>15</v>
      </c>
      <c r="BM36" s="16" t="s">
        <v>15</v>
      </c>
      <c r="BN36" s="261" t="s">
        <v>16</v>
      </c>
      <c r="BO36" s="261" t="s">
        <v>15</v>
      </c>
      <c r="BP36" s="16" t="s">
        <v>16</v>
      </c>
      <c r="BQ36" s="59" t="s">
        <v>15</v>
      </c>
      <c r="BR36" s="124" t="s">
        <v>15</v>
      </c>
      <c r="BS36" s="59" t="s">
        <v>15</v>
      </c>
      <c r="BT36" s="261" t="s">
        <v>16</v>
      </c>
      <c r="BU36" s="16" t="s">
        <v>15</v>
      </c>
      <c r="BV36" s="16" t="s">
        <v>15</v>
      </c>
      <c r="BW36" s="16" t="s">
        <v>15</v>
      </c>
      <c r="BX36" s="22">
        <f t="shared" si="6"/>
        <v>0.7727272727</v>
      </c>
    </row>
    <row r="37">
      <c r="A37" s="213">
        <v>33.0</v>
      </c>
      <c r="B37" s="211"/>
      <c r="C37" s="287" t="s">
        <v>80</v>
      </c>
      <c r="D37" s="214" t="s">
        <v>20</v>
      </c>
      <c r="E37" s="214" t="s">
        <v>20</v>
      </c>
      <c r="F37" s="214" t="s">
        <v>20</v>
      </c>
      <c r="G37" s="214" t="s">
        <v>20</v>
      </c>
      <c r="H37" s="214" t="s">
        <v>20</v>
      </c>
      <c r="I37" s="214" t="s">
        <v>20</v>
      </c>
      <c r="J37" s="214" t="s">
        <v>20</v>
      </c>
      <c r="K37" s="214" t="s">
        <v>20</v>
      </c>
      <c r="L37" s="214" t="s">
        <v>20</v>
      </c>
      <c r="M37" s="214" t="s">
        <v>20</v>
      </c>
      <c r="N37" s="214" t="s">
        <v>20</v>
      </c>
      <c r="O37" s="214" t="s">
        <v>20</v>
      </c>
      <c r="P37" s="214" t="s">
        <v>20</v>
      </c>
      <c r="Q37" s="214" t="s">
        <v>20</v>
      </c>
      <c r="R37" s="214" t="s">
        <v>20</v>
      </c>
      <c r="S37" s="214" t="s">
        <v>20</v>
      </c>
      <c r="T37" s="214" t="s">
        <v>20</v>
      </c>
      <c r="U37" s="214" t="s">
        <v>20</v>
      </c>
      <c r="V37" s="214" t="s">
        <v>20</v>
      </c>
      <c r="W37" s="214" t="s">
        <v>20</v>
      </c>
      <c r="X37" s="22" t="str">
        <f t="shared" si="1"/>
        <v>0,00%</v>
      </c>
      <c r="Y37" s="214" t="s">
        <v>20</v>
      </c>
      <c r="Z37" s="214" t="s">
        <v>20</v>
      </c>
      <c r="AA37" s="214" t="s">
        <v>20</v>
      </c>
      <c r="AB37" s="214" t="s">
        <v>20</v>
      </c>
      <c r="AC37" s="214" t="s">
        <v>20</v>
      </c>
      <c r="AD37" s="214" t="s">
        <v>20</v>
      </c>
      <c r="AE37" s="214" t="s">
        <v>20</v>
      </c>
      <c r="AF37" s="214" t="s">
        <v>20</v>
      </c>
      <c r="AG37" s="214" t="s">
        <v>20</v>
      </c>
      <c r="AH37" s="214" t="s">
        <v>20</v>
      </c>
      <c r="AI37" s="214" t="s">
        <v>20</v>
      </c>
      <c r="AJ37" s="214" t="s">
        <v>20</v>
      </c>
      <c r="AK37" s="214" t="s">
        <v>20</v>
      </c>
      <c r="AL37" s="214" t="s">
        <v>20</v>
      </c>
      <c r="AM37" s="214" t="s">
        <v>20</v>
      </c>
      <c r="AN37" s="214" t="s">
        <v>20</v>
      </c>
      <c r="AO37" s="214" t="s">
        <v>20</v>
      </c>
      <c r="AP37" s="214" t="s">
        <v>20</v>
      </c>
      <c r="AQ37" s="214" t="s">
        <v>20</v>
      </c>
      <c r="AR37" s="214" t="s">
        <v>20</v>
      </c>
      <c r="AS37" s="284" t="str">
        <f t="shared" si="2"/>
        <v>0,00%</v>
      </c>
      <c r="AT37" s="214" t="s">
        <v>20</v>
      </c>
      <c r="AU37" s="214" t="s">
        <v>20</v>
      </c>
      <c r="AV37" s="214" t="s">
        <v>20</v>
      </c>
      <c r="AW37" s="214" t="s">
        <v>20</v>
      </c>
      <c r="AX37" s="214" t="s">
        <v>20</v>
      </c>
      <c r="AY37" s="214" t="s">
        <v>20</v>
      </c>
      <c r="AZ37" s="214" t="s">
        <v>20</v>
      </c>
      <c r="BA37" s="284" t="str">
        <f t="shared" si="5"/>
        <v>0,00%</v>
      </c>
      <c r="BB37" s="274" t="s">
        <v>20</v>
      </c>
      <c r="BC37" s="214" t="s">
        <v>20</v>
      </c>
      <c r="BD37" s="274" t="s">
        <v>20</v>
      </c>
      <c r="BE37" s="274" t="s">
        <v>20</v>
      </c>
      <c r="BF37" s="214" t="s">
        <v>20</v>
      </c>
      <c r="BG37" s="214" t="s">
        <v>20</v>
      </c>
      <c r="BH37" s="214" t="s">
        <v>20</v>
      </c>
      <c r="BI37" s="214" t="s">
        <v>20</v>
      </c>
      <c r="BJ37" s="214" t="s">
        <v>20</v>
      </c>
      <c r="BK37" s="214" t="s">
        <v>20</v>
      </c>
      <c r="BL37" s="271" t="s">
        <v>20</v>
      </c>
      <c r="BM37" s="214" t="s">
        <v>20</v>
      </c>
      <c r="BN37" s="274" t="s">
        <v>20</v>
      </c>
      <c r="BO37" s="274" t="s">
        <v>20</v>
      </c>
      <c r="BP37" s="274" t="s">
        <v>20</v>
      </c>
      <c r="BQ37" s="274" t="s">
        <v>20</v>
      </c>
      <c r="BR37" s="274" t="s">
        <v>20</v>
      </c>
      <c r="BS37" s="32" t="s">
        <v>20</v>
      </c>
      <c r="BT37" s="274" t="s">
        <v>20</v>
      </c>
      <c r="BU37" s="214" t="s">
        <v>20</v>
      </c>
      <c r="BV37" s="214" t="s">
        <v>20</v>
      </c>
      <c r="BW37" s="214" t="s">
        <v>20</v>
      </c>
      <c r="BX37" s="284" t="str">
        <f t="shared" si="6"/>
        <v>0,00%</v>
      </c>
    </row>
    <row r="38">
      <c r="A38" s="100">
        <v>34.0</v>
      </c>
      <c r="B38" s="317"/>
      <c r="C38" s="318">
        <v>46231.0</v>
      </c>
      <c r="D38" s="214" t="s">
        <v>20</v>
      </c>
      <c r="E38" s="214" t="s">
        <v>20</v>
      </c>
      <c r="F38" s="214" t="s">
        <v>20</v>
      </c>
      <c r="G38" s="214" t="s">
        <v>20</v>
      </c>
      <c r="H38" s="214" t="s">
        <v>20</v>
      </c>
      <c r="I38" s="214" t="s">
        <v>20</v>
      </c>
      <c r="J38" s="214" t="s">
        <v>20</v>
      </c>
      <c r="K38" s="214" t="s">
        <v>20</v>
      </c>
      <c r="L38" s="214" t="s">
        <v>20</v>
      </c>
      <c r="M38" s="214" t="s">
        <v>20</v>
      </c>
      <c r="N38" s="214" t="s">
        <v>20</v>
      </c>
      <c r="O38" s="214" t="s">
        <v>20</v>
      </c>
      <c r="P38" s="214" t="s">
        <v>20</v>
      </c>
      <c r="Q38" s="214" t="s">
        <v>20</v>
      </c>
      <c r="R38" s="214" t="s">
        <v>20</v>
      </c>
      <c r="S38" s="214" t="s">
        <v>20</v>
      </c>
      <c r="T38" s="214" t="s">
        <v>20</v>
      </c>
      <c r="U38" s="214" t="s">
        <v>20</v>
      </c>
      <c r="V38" s="214" t="s">
        <v>20</v>
      </c>
      <c r="W38" s="214" t="s">
        <v>20</v>
      </c>
      <c r="X38" s="22" t="str">
        <f t="shared" si="1"/>
        <v>0,00%</v>
      </c>
      <c r="Y38" s="214" t="s">
        <v>20</v>
      </c>
      <c r="Z38" s="214" t="s">
        <v>20</v>
      </c>
      <c r="AA38" s="214" t="s">
        <v>20</v>
      </c>
      <c r="AB38" s="214" t="s">
        <v>20</v>
      </c>
      <c r="AC38" s="214" t="s">
        <v>20</v>
      </c>
      <c r="AD38" s="214" t="s">
        <v>20</v>
      </c>
      <c r="AE38" s="214" t="s">
        <v>20</v>
      </c>
      <c r="AF38" s="214" t="s">
        <v>20</v>
      </c>
      <c r="AG38" s="214" t="s">
        <v>20</v>
      </c>
      <c r="AH38" s="214" t="s">
        <v>20</v>
      </c>
      <c r="AI38" s="214" t="s">
        <v>20</v>
      </c>
      <c r="AJ38" s="214" t="s">
        <v>20</v>
      </c>
      <c r="AK38" s="214" t="s">
        <v>20</v>
      </c>
      <c r="AL38" s="214" t="s">
        <v>20</v>
      </c>
      <c r="AM38" s="214" t="s">
        <v>20</v>
      </c>
      <c r="AN38" s="214" t="s">
        <v>20</v>
      </c>
      <c r="AO38" s="214" t="s">
        <v>20</v>
      </c>
      <c r="AP38" s="214" t="s">
        <v>20</v>
      </c>
      <c r="AQ38" s="214" t="s">
        <v>20</v>
      </c>
      <c r="AR38" s="214" t="s">
        <v>20</v>
      </c>
      <c r="AS38" s="284" t="str">
        <f t="shared" si="2"/>
        <v>0,00%</v>
      </c>
      <c r="AT38" s="214" t="s">
        <v>20</v>
      </c>
      <c r="AU38" s="214" t="s">
        <v>20</v>
      </c>
      <c r="AV38" s="214" t="s">
        <v>20</v>
      </c>
      <c r="AW38" s="271" t="s">
        <v>15</v>
      </c>
      <c r="AX38" s="16" t="s">
        <v>15</v>
      </c>
      <c r="AY38" s="16" t="s">
        <v>15</v>
      </c>
      <c r="AZ38" s="16" t="s">
        <v>15</v>
      </c>
      <c r="BA38" s="22">
        <f t="shared" si="5"/>
        <v>1</v>
      </c>
      <c r="BB38" s="261" t="s">
        <v>15</v>
      </c>
      <c r="BC38" s="16" t="s">
        <v>15</v>
      </c>
      <c r="BD38" s="261" t="s">
        <v>15</v>
      </c>
      <c r="BE38" s="261" t="s">
        <v>15</v>
      </c>
      <c r="BF38" s="264" t="s">
        <v>15</v>
      </c>
      <c r="BG38" s="16" t="s">
        <v>15</v>
      </c>
      <c r="BH38" s="16" t="s">
        <v>15</v>
      </c>
      <c r="BI38" s="16" t="s">
        <v>15</v>
      </c>
      <c r="BJ38" s="16" t="s">
        <v>15</v>
      </c>
      <c r="BK38" s="16" t="s">
        <v>15</v>
      </c>
      <c r="BL38" s="16" t="s">
        <v>15</v>
      </c>
      <c r="BM38" s="16" t="s">
        <v>15</v>
      </c>
      <c r="BN38" s="261" t="s">
        <v>15</v>
      </c>
      <c r="BO38" s="261" t="s">
        <v>16</v>
      </c>
      <c r="BP38" s="16" t="s">
        <v>15</v>
      </c>
      <c r="BQ38" s="59" t="s">
        <v>15</v>
      </c>
      <c r="BR38" s="124" t="s">
        <v>15</v>
      </c>
      <c r="BS38" s="59" t="s">
        <v>15</v>
      </c>
      <c r="BT38" s="261" t="s">
        <v>16</v>
      </c>
      <c r="BU38" s="16" t="s">
        <v>15</v>
      </c>
      <c r="BV38" s="16" t="s">
        <v>15</v>
      </c>
      <c r="BW38" s="16" t="s">
        <v>15</v>
      </c>
      <c r="BX38" s="22">
        <f t="shared" si="6"/>
        <v>0.9090909091</v>
      </c>
    </row>
    <row r="39">
      <c r="A39" s="100">
        <v>35.0</v>
      </c>
      <c r="B39" s="319"/>
      <c r="C39" s="320">
        <v>46251.0</v>
      </c>
      <c r="D39" s="214" t="s">
        <v>20</v>
      </c>
      <c r="E39" s="214" t="s">
        <v>20</v>
      </c>
      <c r="F39" s="214" t="s">
        <v>20</v>
      </c>
      <c r="G39" s="214" t="s">
        <v>20</v>
      </c>
      <c r="H39" s="214" t="s">
        <v>20</v>
      </c>
      <c r="I39" s="214" t="s">
        <v>20</v>
      </c>
      <c r="J39" s="214" t="s">
        <v>20</v>
      </c>
      <c r="K39" s="214" t="s">
        <v>20</v>
      </c>
      <c r="L39" s="214" t="s">
        <v>20</v>
      </c>
      <c r="M39" s="214" t="s">
        <v>20</v>
      </c>
      <c r="N39" s="214" t="s">
        <v>20</v>
      </c>
      <c r="O39" s="214" t="s">
        <v>20</v>
      </c>
      <c r="P39" s="214" t="s">
        <v>20</v>
      </c>
      <c r="Q39" s="214" t="s">
        <v>20</v>
      </c>
      <c r="R39" s="214" t="s">
        <v>20</v>
      </c>
      <c r="S39" s="214" t="s">
        <v>20</v>
      </c>
      <c r="T39" s="214" t="s">
        <v>20</v>
      </c>
      <c r="U39" s="214" t="s">
        <v>20</v>
      </c>
      <c r="V39" s="214" t="s">
        <v>20</v>
      </c>
      <c r="W39" s="214" t="s">
        <v>20</v>
      </c>
      <c r="X39" s="130" t="str">
        <f t="shared" si="1"/>
        <v>0,00%</v>
      </c>
      <c r="Y39" s="214" t="s">
        <v>20</v>
      </c>
      <c r="Z39" s="214" t="s">
        <v>20</v>
      </c>
      <c r="AA39" s="214" t="s">
        <v>20</v>
      </c>
      <c r="AB39" s="214" t="s">
        <v>20</v>
      </c>
      <c r="AC39" s="214" t="s">
        <v>20</v>
      </c>
      <c r="AD39" s="214" t="s">
        <v>20</v>
      </c>
      <c r="AE39" s="214" t="s">
        <v>20</v>
      </c>
      <c r="AF39" s="214" t="s">
        <v>20</v>
      </c>
      <c r="AG39" s="214" t="s">
        <v>20</v>
      </c>
      <c r="AH39" s="214" t="s">
        <v>20</v>
      </c>
      <c r="AI39" s="214" t="s">
        <v>20</v>
      </c>
      <c r="AJ39" s="214" t="s">
        <v>20</v>
      </c>
      <c r="AK39" s="214" t="s">
        <v>20</v>
      </c>
      <c r="AL39" s="214" t="s">
        <v>20</v>
      </c>
      <c r="AM39" s="214" t="s">
        <v>20</v>
      </c>
      <c r="AN39" s="214" t="s">
        <v>20</v>
      </c>
      <c r="AO39" s="214" t="s">
        <v>20</v>
      </c>
      <c r="AP39" s="214" t="s">
        <v>20</v>
      </c>
      <c r="AQ39" s="214" t="s">
        <v>20</v>
      </c>
      <c r="AR39" s="214" t="s">
        <v>20</v>
      </c>
      <c r="AS39" s="48" t="str">
        <f t="shared" si="2"/>
        <v>0,00%</v>
      </c>
      <c r="AT39" s="214" t="s">
        <v>20</v>
      </c>
      <c r="AU39" s="214" t="s">
        <v>20</v>
      </c>
      <c r="AV39" s="214" t="s">
        <v>20</v>
      </c>
      <c r="AW39" s="214" t="s">
        <v>20</v>
      </c>
      <c r="AX39" s="214" t="s">
        <v>20</v>
      </c>
      <c r="AY39" s="214" t="s">
        <v>20</v>
      </c>
      <c r="AZ39" s="214" t="s">
        <v>20</v>
      </c>
      <c r="BA39" s="130" t="str">
        <f t="shared" si="5"/>
        <v>0,00%</v>
      </c>
      <c r="BB39" s="214" t="s">
        <v>20</v>
      </c>
      <c r="BC39" s="214" t="s">
        <v>20</v>
      </c>
      <c r="BD39" s="214" t="s">
        <v>20</v>
      </c>
      <c r="BE39" s="214" t="s">
        <v>20</v>
      </c>
      <c r="BF39" s="214" t="s">
        <v>20</v>
      </c>
      <c r="BG39" s="214" t="s">
        <v>20</v>
      </c>
      <c r="BH39" s="214" t="s">
        <v>20</v>
      </c>
      <c r="BI39" s="214" t="s">
        <v>20</v>
      </c>
      <c r="BJ39" s="214" t="s">
        <v>20</v>
      </c>
      <c r="BK39" s="214" t="s">
        <v>20</v>
      </c>
      <c r="BL39" s="16" t="s">
        <v>16</v>
      </c>
      <c r="BM39" s="100" t="s">
        <v>15</v>
      </c>
      <c r="BN39" s="324" t="s">
        <v>15</v>
      </c>
      <c r="BO39" s="324" t="s">
        <v>15</v>
      </c>
      <c r="BP39" s="100" t="s">
        <v>15</v>
      </c>
      <c r="BQ39" s="325" t="s">
        <v>15</v>
      </c>
      <c r="BR39" s="124" t="s">
        <v>15</v>
      </c>
      <c r="BS39" s="325" t="s">
        <v>16</v>
      </c>
      <c r="BT39" s="324" t="s">
        <v>15</v>
      </c>
      <c r="BU39" s="100" t="s">
        <v>15</v>
      </c>
      <c r="BV39" s="100" t="s">
        <v>15</v>
      </c>
      <c r="BW39" s="100" t="s">
        <v>16</v>
      </c>
      <c r="BX39" s="130">
        <f t="shared" si="6"/>
        <v>0.75</v>
      </c>
      <c r="BY39" s="132"/>
      <c r="BZ39" s="132"/>
      <c r="CA39" s="132"/>
      <c r="CB39" s="132"/>
      <c r="CC39" s="132"/>
      <c r="CD39" s="132"/>
      <c r="CE39" s="132"/>
      <c r="CF39" s="132"/>
      <c r="CG39" s="132"/>
      <c r="CH39" s="132"/>
      <c r="CI39" s="132"/>
      <c r="CJ39" s="132"/>
      <c r="CK39" s="132"/>
      <c r="CL39" s="132"/>
      <c r="CM39" s="132"/>
      <c r="CN39" s="132"/>
      <c r="CO39" s="132"/>
      <c r="CP39" s="132"/>
    </row>
    <row r="40">
      <c r="A40" s="6"/>
      <c r="C40" s="6"/>
      <c r="E40" s="326" t="s">
        <v>28</v>
      </c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101"/>
      <c r="BR40" s="327" t="s">
        <v>18</v>
      </c>
    </row>
    <row r="41">
      <c r="A41" s="6"/>
      <c r="C41" s="6"/>
      <c r="E41" s="117" t="s">
        <v>81</v>
      </c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101"/>
    </row>
    <row r="42">
      <c r="A42" s="6"/>
      <c r="C42" s="6"/>
      <c r="E42" s="117" t="s">
        <v>82</v>
      </c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101"/>
    </row>
    <row r="43">
      <c r="A43" s="6"/>
      <c r="C43" s="6"/>
      <c r="E43" s="117" t="s">
        <v>83</v>
      </c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101"/>
    </row>
    <row r="44">
      <c r="A44" s="6"/>
      <c r="C44" s="6"/>
      <c r="E44" s="117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101"/>
    </row>
    <row r="45">
      <c r="A45" s="6"/>
      <c r="C45" s="6"/>
      <c r="E45" s="97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101"/>
    </row>
    <row r="46">
      <c r="A46" s="6"/>
      <c r="C46" s="6"/>
      <c r="E46" s="97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101"/>
    </row>
    <row r="47">
      <c r="A47" s="6"/>
      <c r="C47" s="6"/>
      <c r="E47" s="97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101"/>
    </row>
    <row r="48">
      <c r="A48" s="6"/>
      <c r="C48" s="6"/>
      <c r="E48" s="97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8"/>
      <c r="AQ48" s="98"/>
      <c r="AR48" s="98"/>
      <c r="AS48" s="101"/>
    </row>
    <row r="49">
      <c r="A49" s="6"/>
      <c r="C49" s="6"/>
      <c r="E49" s="97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101"/>
    </row>
    <row r="50">
      <c r="A50" s="6"/>
      <c r="C50" s="6"/>
      <c r="E50" s="97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S50" s="101"/>
    </row>
    <row r="51">
      <c r="C51" s="6"/>
      <c r="E51" s="97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8"/>
      <c r="AK51" s="98"/>
      <c r="AL51" s="98"/>
      <c r="AM51" s="98"/>
      <c r="AN51" s="98"/>
      <c r="AO51" s="98"/>
      <c r="AP51" s="98"/>
      <c r="AQ51" s="98"/>
      <c r="AR51" s="98"/>
      <c r="AS51" s="101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  <row r="1001">
      <c r="C1001" s="6"/>
    </row>
    <row r="1002">
      <c r="C1002" s="6"/>
    </row>
    <row r="1003">
      <c r="C1003" s="6"/>
    </row>
    <row r="1004">
      <c r="C1004" s="6"/>
    </row>
    <row r="1005">
      <c r="C1005" s="6"/>
    </row>
    <row r="1006">
      <c r="C1006" s="6"/>
    </row>
    <row r="1007">
      <c r="C1007" s="6"/>
    </row>
    <row r="1008">
      <c r="C1008" s="6"/>
    </row>
    <row r="1009">
      <c r="C1009" s="6"/>
    </row>
    <row r="1010">
      <c r="C1010" s="6"/>
    </row>
    <row r="1011">
      <c r="C1011" s="6"/>
    </row>
    <row r="1012">
      <c r="C1012" s="6"/>
    </row>
    <row r="1013">
      <c r="C1013" s="6"/>
    </row>
    <row r="1014">
      <c r="C1014" s="6"/>
    </row>
    <row r="1015">
      <c r="C1015" s="6"/>
    </row>
    <row r="1016">
      <c r="C1016" s="6"/>
    </row>
    <row r="1017">
      <c r="C1017" s="6"/>
    </row>
    <row r="1018">
      <c r="C1018" s="6"/>
    </row>
  </sheetData>
  <mergeCells count="20">
    <mergeCell ref="D1:W3"/>
    <mergeCell ref="AT1:AZ3"/>
    <mergeCell ref="BB1:BW3"/>
    <mergeCell ref="X2:X3"/>
    <mergeCell ref="AS2:AS3"/>
    <mergeCell ref="BA2:BA3"/>
    <mergeCell ref="BX2:BX3"/>
    <mergeCell ref="E46:AS46"/>
    <mergeCell ref="E47:AS47"/>
    <mergeCell ref="E48:AS48"/>
    <mergeCell ref="E49:AS49"/>
    <mergeCell ref="E50:AS50"/>
    <mergeCell ref="E51:AS51"/>
    <mergeCell ref="Y1:AR3"/>
    <mergeCell ref="E40:AS40"/>
    <mergeCell ref="E41:AS41"/>
    <mergeCell ref="E42:AS42"/>
    <mergeCell ref="E43:AS43"/>
    <mergeCell ref="E44:AS44"/>
    <mergeCell ref="E45:AS45"/>
  </mergeCells>
  <conditionalFormatting sqref="D5:D39 E5:J46 K5:K42 L5:AE46 AF5:AF42 AG5:BE46 BF5:BW39 BX13 BX21 D41:D42">
    <cfRule type="cellIs" dxfId="3" priority="1" operator="equal">
      <formula>"P"</formula>
    </cfRule>
  </conditionalFormatting>
  <conditionalFormatting sqref="D5:D39 E5:J46 K5:K42 L5:AE46 AF5:AF42 AG5:BE46 BF5:BW39 BX13 BX21 D41:D42">
    <cfRule type="cellIs" dxfId="4" priority="2" operator="equal">
      <formula>"F"</formula>
    </cfRule>
  </conditionalFormatting>
  <dataValidations>
    <dataValidation type="list" allowBlank="1" showDropDown="1" sqref="AH5 AH7:AH9 AH11:AH12 AH14:AH16 AH18:AH29 AH32:AH36">
      <formula1>"-,P,F"</formula1>
    </dataValidation>
    <dataValidation type="custom" allowBlank="1" showDropDown="1" sqref="B7 C8 B16:B17 B19 B23 B29:B30">
      <formula1>OR(NOT(ISERROR(DATEVALUE(B7))), AND(ISNUMBER(B7), LEFT(CELL("format", B7))="D"))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3"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</tableParts>
</worksheet>
</file>